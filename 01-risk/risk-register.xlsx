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qkha\Desktop\Other Things\Big Boi Tings\Projects\claudecowork\GRC\01-risk\"/>
    </mc:Choice>
  </mc:AlternateContent>
  <xr:revisionPtr revIDLastSave="0" documentId="13_ncr:1_{B79EEEF1-9AA9-45B0-A702-653E0D698205}" xr6:coauthVersionLast="47" xr6:coauthVersionMax="47" xr10:uidLastSave="{00000000-0000-0000-0000-000000000000}"/>
  <bookViews>
    <workbookView xWindow="4290" yWindow="4290" windowWidth="28800" windowHeight="15885" xr2:uid="{00000000-000D-0000-FFFF-FFFF00000000}"/>
  </bookViews>
  <sheets>
    <sheet name="Read me" sheetId="1" r:id="rId1"/>
    <sheet name="Risks" sheetId="2" r:id="rId2"/>
    <sheet name="Scales" sheetId="3" r:id="rId3"/>
    <sheet name="Assets" sheetId="4" r:id="rId4"/>
    <sheet name="Threat sources" sheetId="5" r:id="rId5"/>
    <sheet name="Vulnerabilities" sheetId="6" r:id="rId6"/>
    <sheet name="Conditions" sheetId="7" r:id="rId7"/>
  </sheets>
  <definedNames>
    <definedName name="_xlnm._FilterDatabase" localSheetId="1" hidden="1">Risks!$A$1:$AB$20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20" i="2" l="1"/>
  <c r="V20" i="2"/>
  <c r="Q20" i="2"/>
  <c r="P20" i="2"/>
  <c r="M20" i="2"/>
  <c r="L20" i="2"/>
  <c r="W19" i="2"/>
  <c r="V19" i="2"/>
  <c r="Q19" i="2"/>
  <c r="P19" i="2"/>
  <c r="M19" i="2"/>
  <c r="L19" i="2"/>
  <c r="W18" i="2"/>
  <c r="V18" i="2"/>
  <c r="Q18" i="2"/>
  <c r="P18" i="2"/>
  <c r="M18" i="2"/>
  <c r="L18" i="2"/>
  <c r="W17" i="2"/>
  <c r="V17" i="2"/>
  <c r="Q17" i="2"/>
  <c r="P17" i="2"/>
  <c r="M17" i="2"/>
  <c r="L17" i="2"/>
  <c r="W16" i="2"/>
  <c r="V16" i="2"/>
  <c r="Q16" i="2"/>
  <c r="P16" i="2"/>
  <c r="M16" i="2"/>
  <c r="L16" i="2"/>
  <c r="W15" i="2"/>
  <c r="V15" i="2"/>
  <c r="Q15" i="2"/>
  <c r="P15" i="2"/>
  <c r="M15" i="2"/>
  <c r="L15" i="2"/>
  <c r="W14" i="2"/>
  <c r="V14" i="2"/>
  <c r="Q14" i="2"/>
  <c r="P14" i="2"/>
  <c r="M14" i="2"/>
  <c r="L14" i="2"/>
  <c r="W13" i="2"/>
  <c r="V13" i="2"/>
  <c r="Q13" i="2"/>
  <c r="P13" i="2"/>
  <c r="M13" i="2"/>
  <c r="L13" i="2"/>
  <c r="W12" i="2"/>
  <c r="V12" i="2"/>
  <c r="Q12" i="2"/>
  <c r="P12" i="2"/>
  <c r="M12" i="2"/>
  <c r="L12" i="2"/>
  <c r="W11" i="2"/>
  <c r="V11" i="2"/>
  <c r="Q11" i="2"/>
  <c r="P11" i="2"/>
  <c r="M11" i="2"/>
  <c r="L11" i="2"/>
  <c r="W10" i="2"/>
  <c r="V10" i="2"/>
  <c r="Q10" i="2"/>
  <c r="P10" i="2"/>
  <c r="M10" i="2"/>
  <c r="L10" i="2"/>
  <c r="W9" i="2"/>
  <c r="V9" i="2"/>
  <c r="Q9" i="2"/>
  <c r="P9" i="2"/>
  <c r="M9" i="2"/>
  <c r="L9" i="2"/>
  <c r="W8" i="2"/>
  <c r="V8" i="2"/>
  <c r="Q8" i="2"/>
  <c r="P8" i="2"/>
  <c r="M8" i="2"/>
  <c r="L8" i="2"/>
  <c r="W7" i="2"/>
  <c r="V7" i="2"/>
  <c r="Q7" i="2"/>
  <c r="P7" i="2"/>
  <c r="M7" i="2"/>
  <c r="L7" i="2"/>
  <c r="W6" i="2"/>
  <c r="V6" i="2"/>
  <c r="Q6" i="2"/>
  <c r="P6" i="2"/>
  <c r="M6" i="2"/>
  <c r="L6" i="2"/>
  <c r="W5" i="2"/>
  <c r="V5" i="2"/>
  <c r="Q5" i="2"/>
  <c r="P5" i="2"/>
  <c r="M5" i="2"/>
  <c r="L5" i="2"/>
  <c r="W4" i="2"/>
  <c r="V4" i="2"/>
  <c r="Q4" i="2"/>
  <c r="P4" i="2"/>
  <c r="M4" i="2"/>
  <c r="L4" i="2"/>
  <c r="W3" i="2"/>
  <c r="V3" i="2"/>
  <c r="Q3" i="2"/>
  <c r="P3" i="2"/>
  <c r="M3" i="2"/>
  <c r="L3" i="2"/>
  <c r="W2" i="2"/>
  <c r="V2" i="2"/>
  <c r="Q2" i="2"/>
  <c r="P2" i="2"/>
  <c r="M2" i="2"/>
  <c r="L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 Khas</author>
  </authors>
  <commentList>
    <comment ref="AA1" authorId="0" shapeId="0" xr:uid="{00000000-0006-0000-0100-000001000000}">
      <text>
        <r>
          <rPr>
            <sz val="11"/>
            <color theme="1"/>
            <rFont val="Calibri"/>
            <family val="2"/>
            <scheme val="minor"/>
          </rPr>
          <t>Agree = keep as proposed. Change = explain in Your notes.</t>
        </r>
      </text>
    </comment>
  </commentList>
</comments>
</file>

<file path=xl/sharedStrings.xml><?xml version="1.0" encoding="utf-8"?>
<sst xmlns="http://schemas.openxmlformats.org/spreadsheetml/2006/main" count="668" uniqueCount="432">
  <si>
    <t>Khas Tracker risk register (review copy)</t>
  </si>
  <si>
    <t>As of 2026-10-31. Method: 01-risk/methodology.md (NIST SP 800-30 Rev 1, ISO 27001 6.1.2 / 6.1.3).</t>
  </si>
  <si>
    <t>How to review</t>
  </si>
  <si>
    <t>1. Go to the Risks sheet. Each row is one risk. Use the filter arrows to sort by Current level.</t>
  </si>
  <si>
    <t>2. Blue numbers are inputs: likelihood (L) and impact (I), 1 = Very Low ... 5 = Very High. Change one and the score and level recalculate.</t>
  </si>
  <si>
    <t>3. Fill in the two yellow columns at the far right: "Your decision" (Agree / Change) and "Your notes" (what to change and why).</t>
  </si>
  <si>
    <t>4. Rows already marked "Decided by M. Khas" were decided in chat; you can still change them.</t>
  </si>
  <si>
    <t>Columns</t>
  </si>
  <si>
    <t>Score = L x I (1-25), only for sorting. Level = SP 800-30 Table I-2 lookup (see Scales sheet). The level drives decisions.</t>
  </si>
  <si>
    <t>Inherent = without Khas Tracker's own controls. Current = with verified controls today. Target = after the planned action.</t>
  </si>
  <si>
    <t>Example row: R-01. Inherent L 4, I 5 -&gt; score 20, Very High. Current L 2, I 5 -&gt; 10, Moderate. Target L 1, I 5 -&gt; 5, Low.</t>
  </si>
  <si>
    <t>Source of truth: 01-risk/risk-register.csv. This workbook is generated from the same data for easier review.</t>
  </si>
  <si>
    <t>Risk ID</t>
  </si>
  <si>
    <t>Risk</t>
  </si>
  <si>
    <t>Threat event</t>
  </si>
  <si>
    <t>Threat sources</t>
  </si>
  <si>
    <t>MITRE ATT&amp;CK</t>
  </si>
  <si>
    <t>Assets</t>
  </si>
  <si>
    <t>Vulnerabilities / conditions</t>
  </si>
  <si>
    <t>Existing controls (verified)</t>
  </si>
  <si>
    <t>Scoring rationale</t>
  </si>
  <si>
    <t>Inherent L</t>
  </si>
  <si>
    <t>Inherent I</t>
  </si>
  <si>
    <t>Inherent score</t>
  </si>
  <si>
    <t>Inherent level</t>
  </si>
  <si>
    <t>Current L</t>
  </si>
  <si>
    <t>Current I</t>
  </si>
  <si>
    <t>Current score</t>
  </si>
  <si>
    <t>Current level</t>
  </si>
  <si>
    <t>Treatment</t>
  </si>
  <si>
    <t>Planned action</t>
  </si>
  <si>
    <t>Target L</t>
  </si>
  <si>
    <t>Target I</t>
  </si>
  <si>
    <t>Target score</t>
  </si>
  <si>
    <t>Target level</t>
  </si>
  <si>
    <t>Owner</t>
  </si>
  <si>
    <t>Status</t>
  </si>
  <si>
    <t>Next review</t>
  </si>
  <si>
    <t>Your decision</t>
  </si>
  <si>
    <t>Your notes</t>
  </si>
  <si>
    <t>R-01</t>
  </si>
  <si>
    <t>Administrator identity or credential store compromised</t>
  </si>
  <si>
    <t>An attacker gains the administrator's AWS credentials and second factor through phishing, a compromised identity account or a stolen unlocked device, and takes control of the AWS account, including the ability to delete data and backups</t>
  </si>
  <si>
    <t>TS-01; TS-02</t>
  </si>
  <si>
    <t>T1566; T1555; T1078.004; T1485; T1496</t>
  </si>
  <si>
    <t>A-08; A-09; A-01; A-02</t>
  </si>
  <si>
    <t>V-01; V-06; V-07; V-08; V-14</t>
  </si>
  <si>
    <t>MFA on AWS root and admin user; MFA on administrator identity accounts; no AWS access keys on the operator's computer (CloudShell only); budget alerts</t>
  </si>
  <si>
    <t>Likelihood Low: MFA blocks password-only attacks, but the factors are not independent, so one compromise can yield both. Impact Very High: full control of production and backups</t>
  </si>
  <si>
    <t>Mitigate</t>
  </si>
  <si>
    <t>Move AWS root and admin MFA to phishing-resistant factors (security keys or passkeys) kept outside the password store; lock backups against deletion (AWS Backup Vault Lock); test admin recovery (with R-19)</t>
  </si>
  <si>
    <t>M. Khas</t>
  </si>
  <si>
    <t>Decided by M. Khas, 2026-10-31</t>
  </si>
  <si>
    <t>2027-04-30</t>
  </si>
  <si>
    <t>Agree</t>
  </si>
  <si>
    <t>R-02</t>
  </si>
  <si>
    <t>Malicious deploy through a compromised identity or code-host account</t>
  </si>
  <si>
    <t>An attacker takes over the identity account that signs in to the code host, pushes a change to main, and the pipeline deploys an app that captures users' passphrases</t>
  </si>
  <si>
    <t>T1078; T1195.002; T1056.003</t>
  </si>
  <si>
    <t>A-06; A-05; A-09; A-01</t>
  </si>
  <si>
    <t>V-02; V-03; V-06</t>
  </si>
  <si>
    <t>MFA on the code host and identity account; deploy role usable only from the main branch of one repository; 1-hour deploy sessions; full Git history of every change</t>
  </si>
  <si>
    <t>Likelihood Low: MFA on both accounts, but no approval step stands between a push and production. Impact Very High: every user's data readable from then on (breaks SC-1)</t>
  </si>
  <si>
    <t>Phishing-resistant MFA (passkey or security key) on the identity account and code host; give the code host its own sign-in; email notification on every production deploy; review the code host security log monthly</t>
  </si>
  <si>
    <t>R-03</t>
  </si>
  <si>
    <t>Unreviewed change breaks the app or corrupts data</t>
  </si>
  <si>
    <t>The operator pushes a faulty change (for example a sync or encryption bug) that deploys straight to production and breaks the app or damages stored records</t>
  </si>
  <si>
    <t>TS-06; TS-07</t>
  </si>
  <si>
    <t>A-05; A-01; A-11</t>
  </si>
  <si>
    <t>V-03; PC-01</t>
  </si>
  <si>
    <t>CI runs unit tests and a type check before every deploy; deploys only from main; rollback by revert; DynamoDB deletion protection and point-in-time recovery; encrypted copies on users' devices</t>
  </si>
  <si>
    <t>Likelihood Moderate: frequent solo changes with no second review. Impact Moderate: point-in-time recovery and device copies limit lasting loss</t>
  </si>
  <si>
    <t>Work on branches with a pull request and a self-review checklist; CI runs on pull requests before merge; each merged PR is the change approval record</t>
  </si>
  <si>
    <t>R-04</t>
  </si>
  <si>
    <t>Operator ships a passphrase-capturing build</t>
  </si>
  <si>
    <t>The operator, deliberately or under pressure, deploys app code that captures users' passphrases</t>
  </si>
  <si>
    <t>TS-05</t>
  </si>
  <si>
    <t>T1056.003</t>
  </si>
  <si>
    <t>A-05; A-01</t>
  </si>
  <si>
    <t>PC-01; PC-02</t>
  </si>
  <si>
    <t>Git history makes any code change visible after the fact; users know the operator personally</t>
  </si>
  <si>
    <t>Likelihood Very Low: no motive and personal relationships with every user. Impact Very High: all content readable</t>
  </si>
  <si>
    <t>Accept</t>
  </si>
  <si>
    <t>Accepted at design time: the risk cannot reach zero while the operator serves the code, even with a second person. Add a free detective control: a changelog of every production deploy that users can see. Re-assess if a second admin is added (T-06) or users who are not friends or family join (T-04)</t>
  </si>
  <si>
    <t>2027-10-31</t>
  </si>
  <si>
    <t>I think agree? The only way this could be mitigated is if I had a second person right? If there is any other way to absolutely mitigate this, I would love to implement.</t>
  </si>
  <si>
    <t>R-05</t>
  </si>
  <si>
    <t>Malicious dependency or Action runs in the deploy job</t>
  </si>
  <si>
    <t>A compromised npm package or GitHub Action runs inside the deploy job, uses the deploy credentials, and changes the app or the AWS account</t>
  </si>
  <si>
    <t>TS-03</t>
  </si>
  <si>
    <t>T1195.001; T1078.004</t>
  </si>
  <si>
    <t>A-06; A-07; A-08; A-05</t>
  </si>
  <si>
    <t>V-04; V-05</t>
  </si>
  <si>
    <t>Small direct dependency set (2 runtime, 5 development packages); no long-lived AWS keys in CI (OIDC); 1-hour sessions; deploy role limited to main; CI tests</t>
  </si>
  <si>
    <t>Likelihood Low: supply-chain attacks are common but untargeted, and the direct dependency set is small; the transitive tree is much larger. Impact Very High: the deploy role is administrator-equivalent</t>
  </si>
  <si>
    <t>Commit a lockfile and install with npm ci; give the deploy credentials only to the deploy step; pin GitHub Actions to commit SHAs; turn on Dependabot alerts; later, narrow the CDK deploy permissions</t>
  </si>
  <si>
    <t>R-06</t>
  </si>
  <si>
    <t>Incident goes undetected or cannot be investigated</t>
  </si>
  <si>
    <t>An attack or misuse in the AWS account or app is not noticed, or cannot be reconstructed afterwards because the needed logs do not exist</t>
  </si>
  <si>
    <t>TS-01; TS-02; TS-03; TS-05</t>
  </si>
  <si>
    <t>T1562.008</t>
  </si>
  <si>
    <t>A-12; A-08</t>
  </si>
  <si>
    <t>V-06</t>
  </si>
  <si>
    <t>Budget alerts; AWS CloudTrail event history (AWS default, 90 days, management events); Lambda error logs (14 days)</t>
  </si>
  <si>
    <t>Likelihood Moderate: no security alerting at all today. Impact High: affected users could not be told what was exposed</t>
  </si>
  <si>
    <t>Free controls only (no GuardDuty, a cost decision): verify or create a CloudTrail trail with log file validation; free email alerts on root and admin sign-in and on logging changes; keep app logs longer. Remaining Moderate risk to be accepted with a written reason after treatment</t>
  </si>
  <si>
    <t>R-07</t>
  </si>
  <si>
    <t>User account taken over</t>
  </si>
  <si>
    <t>An attacker or someone close to a user gets their password and authenticator code (phishing, reuse, access to their phone) and signs in as them</t>
  </si>
  <si>
    <t>TS-01; TS-04</t>
  </si>
  <si>
    <t>T1566.002; T1078; T1111; T1485</t>
  </si>
  <si>
    <t>A-04; A-01</t>
  </si>
  <si>
    <t>V-12; V-13</t>
  </si>
  <si>
    <t>Invite-only accounts; TOTP MFA required; 10-character minimum password; generic sign-in errors; 1-hour tokens; API throttling; end-to-end encryption means a taken-over account exposes only ciphertext</t>
  </si>
  <si>
    <t>Likelihood Low: MFA required and a small, invite-only user base. Impact Moderate: the attacker gets ciphertext only but could delete that user's records (recoverable)</t>
  </si>
  <si>
    <t>Move the user pool to the Cognito Essentials plan (free under 10,000 monthly users) and offer passkey sign-in, which resists phishing; tell users how to protect their account in the Phase 6 privacy notice</t>
  </si>
  <si>
    <t>Is this where we could mitigate by having anoption to download an offline copy of their data? How coud we mitigate this if we wanted to.</t>
  </si>
  <si>
    <t>R-08</t>
  </si>
  <si>
    <t>Passphrase cracked offline</t>
  </si>
  <si>
    <t>Someone who already holds a user's keyring (for example after an AWS breach) guesses a weak passphrase offline and decrypts that user's data</t>
  </si>
  <si>
    <t>TS-01; TS-02; TS-05</t>
  </si>
  <si>
    <t>T1110.002</t>
  </si>
  <si>
    <t>A-01; A-02</t>
  </si>
  <si>
    <t>V-15</t>
  </si>
  <si>
    <t>PBKDF2-SHA256 with 600,000 iterations; passphrase at least 12 characters; 24-character random recovery code; keyring reachable only after another compromise (R-01, R-02, R-05)</t>
  </si>
  <si>
    <t>Likelihood Very Low: needs a prior AWS compromise plus a weak passphrase. Impact High: one user's content</t>
  </si>
  <si>
    <t>Add a self-hosted passphrase strength check (block common passphrases, encourage several words), with no third-party scripts</t>
  </si>
  <si>
    <t>yeah, if a passphrase strength meter is the best we can do, we should do that.</t>
  </si>
  <si>
    <t>R-09</t>
  </si>
  <si>
    <t>Record metadata shows when users log</t>
  </si>
  <si>
    <t>The operator, AWS or anyone who reaches the table sees record names and timestamps that show which days each user logged something</t>
  </si>
  <si>
    <t>TS-05; TS-01</t>
  </si>
  <si>
    <t>T1530</t>
  </si>
  <si>
    <t>A-03</t>
  </si>
  <si>
    <t>V-09; PC-03</t>
  </si>
  <si>
    <t>Only record names, timestamps and sizes are visible, never content; table access limited to the operator</t>
  </si>
  <si>
    <t>Likelihood Moderate: the operator sees metadata whenever doing support. Impact Moderate: activity dates of several users</t>
  </si>
  <si>
    <t>Change how records are named so stored keys no longer reveal dates (for example, keys derived with the user's data key); only sync timestamps would remain. Engineering change in the app</t>
  </si>
  <si>
    <t>R-10</t>
  </si>
  <si>
    <t>Deleted users remain in backups for years</t>
  </si>
  <si>
    <t>A user leaves and asks for deletion, but encrypted copies of their data stay in backups for up to 3 years</t>
  </si>
  <si>
    <t>TS-10</t>
  </si>
  <si>
    <t>A-02; A-14</t>
  </si>
  <si>
    <t>V-10; V-11</t>
  </si>
  <si>
    <t>Backups hold ciphertext only, unreadable without the user's passphrase</t>
  </si>
  <si>
    <t>Likelihood Moderate: someone among 10 users may leave in a given year. Impact Low: data is unreadable; harm is to trust and promises</t>
  </si>
  <si>
    <t>Retention schedule and plain disclosure in the privacy notice (Phase 6); decide whether 3-year copy retention is needed</t>
  </si>
  <si>
    <t>R-11</t>
  </si>
  <si>
    <t>Privacy obligations not met</t>
  </si>
  <si>
    <t>A user or a person they record complains, or a law applies, and there is no notice, terms or record of how requests were handled</t>
  </si>
  <si>
    <t>A-14</t>
  </si>
  <si>
    <t>V-11; PC-03; PC-04</t>
  </si>
  <si>
    <t>Users are known personally; content is end-to-end encrypted; commitments made in the invitation email and setup screens</t>
  </si>
  <si>
    <t>Likelihood Low: friends and family are unlikely to complain formally. Impact High: formal complaint or consumer health law exposure (trigger T-03)</t>
  </si>
  <si>
    <t>Privacy notice and terms, a request log, and the applicable-law analysis including non-user data (Phase 6)</t>
  </si>
  <si>
    <t>R-12</t>
  </si>
  <si>
    <t>User data permanently lost</t>
  </si>
  <si>
    <t>A bug, an admin mistake (such as deleting the wrong account) or an AWS fault destroys records, and the restore fails or was never practised</t>
  </si>
  <si>
    <t>TS-06; TS-07; TS-08</t>
  </si>
  <si>
    <t>V-07</t>
  </si>
  <si>
    <t>Point-in-time recovery (35 days); daily backups (35 days) with a cross-region copy (3 years); table deletion protection; encrypted copies on users' devices</t>
  </si>
  <si>
    <t>Likelihood Low: several independent copies exist, but restore has never been recorded as tested. Impact High: a user's history lost for good</t>
  </si>
  <si>
    <t>Run and record a restore test at least yearly; bring the copy vault into infrastructure code or document it; backup lock (with R-01)</t>
  </si>
  <si>
    <t>R-13</t>
  </si>
  <si>
    <t>Operator unavailable for an extended period</t>
  </si>
  <si>
    <t>The operator cannot run the service for weeks (illness, life events); nobody else can fix problems, help users or keep the account paid</t>
  </si>
  <si>
    <t>TS-09</t>
  </si>
  <si>
    <t>A-13</t>
  </si>
  <si>
    <t>PC-01</t>
  </si>
  <si>
    <t>Serverless service runs without intervention; domain auto-renews; backups are automatic; users keep encrypted copies on their devices</t>
  </si>
  <si>
    <t>Likelihood Low. Impact High: an outage of more than a week is possible and users have no way to export their data</t>
  </si>
  <si>
    <t>A short continuity note for a trusted person (what to tell users, how to shut down cleanly); turn the user backup download back on</t>
  </si>
  <si>
    <t>R-14</t>
  </si>
  <si>
    <t>Outage or cost spike</t>
  </si>
  <si>
    <t>An AWS fault, a traffic flood or abuse of the API makes sync unavailable or runs up the bill</t>
  </si>
  <si>
    <t>TS-01; TS-07; TS-08</t>
  </si>
  <si>
    <t>T1499</t>
  </si>
  <si>
    <t>A-11; A-05</t>
  </si>
  <si>
    <t>PC-06</t>
  </si>
  <si>
    <t>App works offline and syncs later; API throttling (10 requests/second, burst 20); CloudFront in front of all traffic; AWS Shield Standard (provided by AWS); budget alerts</t>
  </si>
  <si>
    <t>Likelihood Moderate: regional AWS issues happen. Impact Low: the app keeps working offline</t>
  </si>
  <si>
    <t>Accept; within the moderate appetite for outages</t>
  </si>
  <si>
    <t>R-15</t>
  </si>
  <si>
    <t>Domain or DNS hijacked, or domain lapses</t>
  </si>
  <si>
    <t>The domain is transferred, its DNS changed or it expires, and users are sent to a fake app that captures passphrases</t>
  </si>
  <si>
    <t>TS-01; TS-02; TS-06</t>
  </si>
  <si>
    <t>T1584.001; T1056.003</t>
  </si>
  <si>
    <t>A-10</t>
  </si>
  <si>
    <t>V-14</t>
  </si>
  <si>
    <t>Registration and DNS protected by AWS account controls (R-01); auto-renew on; HSTS for one year; TLS certificate validated by DNS</t>
  </si>
  <si>
    <t>Likelihood Very Low: needs an AWS compromise or a registrar failure. Impact Very High: a fake app could capture passphrases</t>
  </si>
  <si>
    <t>Free checks under the confidentiality rule (methodology 4.2): verify registrar transfer lock, auto-renew, contacts and renewal payment, and add them to the Phase 4 automated checks. Residual risk cannot reach zero; the aim is verified controls with evidence</t>
  </si>
  <si>
    <t>Mitigate, and we need to validate that this CANNOT happen.</t>
  </si>
  <si>
    <t>R-16</t>
  </si>
  <si>
    <t>User mailbox exposes invitation password or recovery code</t>
  </si>
  <si>
    <t>Someone with access to a user's mailbox uses the temporary password or a self-emailed recovery code</t>
  </si>
  <si>
    <t>T1114</t>
  </si>
  <si>
    <t>V-13</t>
  </si>
  <si>
    <t>Temporary password expires in 7 days and must be changed; TOTP still required to sign in; a recovery code alone cannot sign in</t>
  </si>
  <si>
    <t>Likelihood Low. Impact Low: the attacker still needs the user's authenticator to reach any data</t>
  </si>
  <si>
    <t>User guidance on storing the recovery code in the Phase 6 privacy notice</t>
  </si>
  <si>
    <t>R-17</t>
  </si>
  <si>
    <t>Client-side code flaw exposes plaintext</t>
  </si>
  <si>
    <t>A flaw such as cross-site scripting lets an attacker run script in the app and read decrypted data in the browser</t>
  </si>
  <si>
    <t>TS-01</t>
  </si>
  <si>
    <t>T1189; T1059.007</t>
  </si>
  <si>
    <t>Strict Content Security Policy (scripts only from the app's own origin, no inline scripts); no third-party scripts or frameworks; framing blocked; no referrer sent</t>
  </si>
  <si>
    <t>Likelihood Very Low: strict CSP and no third-party code. Impact Very High: plaintext readable in the browser</t>
  </si>
  <si>
    <t>Add Trusted Types to the Content Security Policy (require-trusted-types-for 'script'), free under the confidentiality rule; keep the CSP strict and re-assess if any third-party script or framework is added</t>
  </si>
  <si>
    <t>I don’t want to accept this if I don’t want to, or are we saying that this isn't actually an issue?</t>
  </si>
  <si>
    <t>R-18</t>
  </si>
  <si>
    <t>API authorization flaw between users</t>
  </si>
  <si>
    <t>A flaw in the sync API lets one user read, change or delete another user's records</t>
  </si>
  <si>
    <t>TS-04; TS-01</t>
  </si>
  <si>
    <t>T1190</t>
  </si>
  <si>
    <t>A-11; A-01</t>
  </si>
  <si>
    <t>JWT required on every API route; Lambda takes the user ID only from the verified token; user ID and record key bound into each ciphertext; API unit tests</t>
  </si>
  <si>
    <t>Likelihood Very Low: the user ID never comes from the request body. Impact Moderate: content stays encrypted; records could be altered or deleted</t>
  </si>
  <si>
    <t>Add cross-user tests for the two API routes not yet covered (single-record read and delete), so every route is checked on every deploy</t>
  </si>
  <si>
    <t>R-19</t>
  </si>
  <si>
    <t>Operator locked out of administration</t>
  </si>
  <si>
    <t>The operator loses their phone and cannot get back into AWS or the code host because recovery has never been tested</t>
  </si>
  <si>
    <t>TS-06; TS-08</t>
  </si>
  <si>
    <t>A-09; A-08</t>
  </si>
  <si>
    <t>V-01; V-08</t>
  </si>
  <si>
    <t>Account recovery options on the identity accounts; AWS root account recovery process (provided by AWS)</t>
  </si>
  <si>
    <t>Likelihood Low. Impact High: no fixes or account changes possible for more than a week</t>
  </si>
  <si>
    <t>Test recovery of administrator access from a new device; keep printed break-glass recovery codes stored offline</t>
  </si>
  <si>
    <t>Likelihood (within 12 months)</t>
  </si>
  <si>
    <t>Value</t>
  </si>
  <si>
    <t>Level</t>
  </si>
  <si>
    <t>Definition</t>
  </si>
  <si>
    <t>Very High</t>
  </si>
  <si>
    <t>Almost certain. More than once a year</t>
  </si>
  <si>
    <t>High</t>
  </si>
  <si>
    <t>Likely. About once a year</t>
  </si>
  <si>
    <t>Moderate</t>
  </si>
  <si>
    <t>Could happen. About once every 1-3 years</t>
  </si>
  <si>
    <t>Low</t>
  </si>
  <si>
    <t>Unlikely. About once every 3-10 years</t>
  </si>
  <si>
    <t>Very Low</t>
  </si>
  <si>
    <t>Highly unlikely. Less than once in 10 years</t>
  </si>
  <si>
    <t>Risk level matrix (SP 800-30 Table I-2). Rows = likelihood, columns = impact</t>
  </si>
  <si>
    <t>Likelihood \ Impact</t>
  </si>
  <si>
    <t>Very Low (1)</t>
  </si>
  <si>
    <t>Low (2)</t>
  </si>
  <si>
    <t>Moderate (3)</t>
  </si>
  <si>
    <t>High (4)</t>
  </si>
  <si>
    <t>Very High (5)</t>
  </si>
  <si>
    <t>Impact: rate the worst effect on people, the service or the operator. Full scale in methodology.md section 3.2.</t>
  </si>
  <si>
    <t>ID</t>
  </si>
  <si>
    <t>Asset</t>
  </si>
  <si>
    <t>Includes</t>
  </si>
  <si>
    <t>C</t>
  </si>
  <si>
    <t>I</t>
  </si>
  <si>
    <t>A</t>
  </si>
  <si>
    <t>Why it matters</t>
  </si>
  <si>
    <t>A-01</t>
  </si>
  <si>
    <t>User content and keyrings</t>
  </si>
  <si>
    <t>D-01 to D-10, D-13, stored as ciphertext in DynamoDB</t>
  </si>
  <si>
    <t>Health, mental health, religious and third-party data. Promise SC-1 depends on it</t>
  </si>
  <si>
    <t>A-02</t>
  </si>
  <si>
    <t>Backups</t>
  </si>
  <si>
    <t>Point-in-time recovery (35 days), daily backup vault (35 days), copy vault in a second region (3 years)</t>
  </si>
  <si>
    <t>The only way back from data loss. Also holds deleted users' data</t>
  </si>
  <si>
    <t>Record metadata</t>
  </si>
  <si>
    <t>D-21: record names, timestamps, sizes</t>
  </si>
  <si>
    <t>Readable by the administrator and AWS. Shows when users log, not what</t>
  </si>
  <si>
    <t>A-04</t>
  </si>
  <si>
    <t>User accounts</t>
  </si>
  <si>
    <t>D-15 to D-20 in Cognito</t>
  </si>
  <si>
    <t>Gate to each user's ciphertext and the ability to delete it</t>
  </si>
  <si>
    <t>A-05</t>
  </si>
  <si>
    <t>Web app as delivered</t>
  </si>
  <si>
    <t>D-27: files in S3 served by CloudFront</t>
  </si>
  <si>
    <t>Very high</t>
  </si>
  <si>
    <t>Whoever controls these files controls the code that handles passphrases</t>
  </si>
  <si>
    <t>A-06</t>
  </si>
  <si>
    <t>Source code and deploy pipeline</t>
  </si>
  <si>
    <t>D-26: private GitHub repository and Actions workflow</t>
  </si>
  <si>
    <t>A push to main deploys to production</t>
  </si>
  <si>
    <t>A-07</t>
  </si>
  <si>
    <t>Deploy identity</t>
  </si>
  <si>
    <t>GitHub OIDC deploy role and the CDK bootstrap roles it uses</t>
  </si>
  <si>
    <t>n/a</t>
  </si>
  <si>
    <t>Can change any resource in the stack</t>
  </si>
  <si>
    <t>A-08</t>
  </si>
  <si>
    <t>AWS account</t>
  </si>
  <si>
    <t>Root user, administrator IAM user, billing, account-level settings</t>
  </si>
  <si>
    <t>Full control of everything above</t>
  </si>
  <si>
    <t>A-09</t>
  </si>
  <si>
    <t>Administrator identities and credential store</t>
  </si>
  <si>
    <t>D-25: password manager and personal identity accounts used to reach AWS and GitHub (D-008)</t>
  </si>
  <si>
    <t>The real perimeter for a one-person operation</t>
  </si>
  <si>
    <t>Domain, DNS and email identity</t>
  </si>
  <si>
    <t>Domain registration, DNS zone, TLS certificate, SES sending domain</t>
  </si>
  <si>
    <t>Controls where users' browsers go and who can send mail as the app</t>
  </si>
  <si>
    <t>A-11</t>
  </si>
  <si>
    <t>Sync API</t>
  </si>
  <si>
    <t>API Gateway and Lambda</t>
  </si>
  <si>
    <t>Enforces per-user access to records</t>
  </si>
  <si>
    <t>A-12</t>
  </si>
  <si>
    <t>Logs and audit trail</t>
  </si>
  <si>
    <t>Lambda logs (14 days); account-level audit logging (unverified)</t>
  </si>
  <si>
    <t>Needed to detect and investigate an incident</t>
  </si>
  <si>
    <t>The operator</t>
  </si>
  <si>
    <t>One person who builds, runs and supports the service</t>
  </si>
  <si>
    <t>Nobody else can operate the service</t>
  </si>
  <si>
    <t>Privacy commitments and request handling</t>
  </si>
  <si>
    <t>Commitments SC-1 to SC-5; D-24 support requests</t>
  </si>
  <si>
    <t>How users' rights and expectations are met</t>
  </si>
  <si>
    <t>Threat source</t>
  </si>
  <si>
    <t>SP 800-30 type</t>
  </si>
  <si>
    <t>Capability</t>
  </si>
  <si>
    <t>Intent</t>
  </si>
  <si>
    <t>Targeting</t>
  </si>
  <si>
    <t>Notes</t>
  </si>
  <si>
    <t>Opportunistic outsider (phishing kits, credential stuffing, bots)</t>
  </si>
  <si>
    <t>Adversarial: individual or group, outsider</t>
  </si>
  <si>
    <t>Money: resell accounts, mine crypto, ransom</t>
  </si>
  <si>
    <t>Low. Hits anyone</t>
  </si>
  <si>
    <t>The most common real-world source for small cloud accounts</t>
  </si>
  <si>
    <t>TS-02</t>
  </si>
  <si>
    <t>Targeted outsider</t>
  </si>
  <si>
    <t>Adversarial: individual, outsider</t>
  </si>
  <si>
    <t>Personal: someone who knows the operator or a user</t>
  </si>
  <si>
    <t>Unlikely, but the users are a small, known group</t>
  </si>
  <si>
    <t>Software supply-chain attacker</t>
  </si>
  <si>
    <t>Adversarial: group, established</t>
  </si>
  <si>
    <t>Broad credential and code theft</t>
  </si>
  <si>
    <t>Low. Hits whoever installs the package</t>
  </si>
  <si>
    <t>Compromised npm packages or GitHub Actions</t>
  </si>
  <si>
    <t>TS-04</t>
  </si>
  <si>
    <t>Trusted insider: a user, or someone close to one</t>
  </si>
  <si>
    <t>Adversarial: individual, trusted insider</t>
  </si>
  <si>
    <t>Curiosity, relationship conflict</t>
  </si>
  <si>
    <t>High. One specific person</t>
  </si>
  <si>
    <t>For example, a partner with access to a user's unlocked phone</t>
  </si>
  <si>
    <t>Privileged insider: the operator, acting deliberately or under pressure</t>
  </si>
  <si>
    <t>Adversarial: individual, privileged insider</t>
  </si>
  <si>
    <t>None today. Included because the trust model depends on it</t>
  </si>
  <si>
    <t>See R-04</t>
  </si>
  <si>
    <t>TS-06</t>
  </si>
  <si>
    <t>The operator's own mistakes</t>
  </si>
  <si>
    <t>Accidental: privileged user or administrator</t>
  </si>
  <si>
    <t>Wrong command, bad deploy, misconfiguration</t>
  </si>
  <si>
    <t>TS-07</t>
  </si>
  <si>
    <t>Software and service faults</t>
  </si>
  <si>
    <t>Structural: software, IT equipment</t>
  </si>
  <si>
    <t>Bugs in the app or in AWS services</t>
  </si>
  <si>
    <t>TS-08</t>
  </si>
  <si>
    <t>Infrastructure outage or disaster</t>
  </si>
  <si>
    <t>Environmental: infrastructure failure</t>
  </si>
  <si>
    <t>AWS region outage; loss of the operator's phone or computer</t>
  </si>
  <si>
    <t>Operator unavailable</t>
  </si>
  <si>
    <t>Added: not in Table D-2 (key person)</t>
  </si>
  <si>
    <t>Illness, travel, life events</t>
  </si>
  <si>
    <t>Legal and regulatory</t>
  </si>
  <si>
    <t>Added: not in Table D-2</t>
  </si>
  <si>
    <t>A complaint, regulator inquiry or new law. ISO 27001 clause 4.2 brings these in</t>
  </si>
  <si>
    <t>Vulnerability</t>
  </si>
  <si>
    <t>Source</t>
  </si>
  <si>
    <t>V-01</t>
  </si>
  <si>
    <t>Administrator sign-in factors are not fully independent of each other</t>
  </si>
  <si>
    <t>A-08, A-09</t>
  </si>
  <si>
    <t>Phase 0 interview</t>
  </si>
  <si>
    <t>Open</t>
  </si>
  <si>
    <t>V-02</t>
  </si>
  <si>
    <t>A personal identity account can sign in to the code host, and the code host deploys production with no approval step</t>
  </si>
  <si>
    <t>A-06, A-09</t>
  </si>
  <si>
    <t>Phase 0 interview; deploy.yml</t>
  </si>
  <si>
    <t>V-03</t>
  </si>
  <si>
    <t>No branch protection or second reviewer on the app repository</t>
  </si>
  <si>
    <t>V-04</t>
  </si>
  <si>
    <t>The deploy role can use the CDK bootstrap roles, which have broad (administrator-equivalent) permissions</t>
  </si>
  <si>
    <t>A-07, A-08</t>
  </si>
  <si>
    <t>tracker@9124656:infra/lib/tracker-stack.ts:359-362</t>
  </si>
  <si>
    <t>V-05</t>
  </si>
  <si>
    <t>The CI pipeline doesn't pin dependencies to a lockfile, pins GitHub Actions to version tags rather than commits, and has no dependency scanning</t>
  </si>
  <si>
    <t>A-06, A-07</t>
  </si>
  <si>
    <t>tracker@9124656:.github/workflows/deploy.yml:25-33</t>
  </si>
  <si>
    <t>Account-level audit logging and threat detection are unverified; app logs are kept 14 days; no API or CDN access logs</t>
  </si>
  <si>
    <t>System description 3.1; tracker-stack.ts:190-193</t>
  </si>
  <si>
    <t>Open (unverified)</t>
  </si>
  <si>
    <t>The backup copy vault was created by hand outside infrastructure code; backups are not locked against deletion; no restore test is on record</t>
  </si>
  <si>
    <t>tracker-stack.ts:306-316; DEPLOY.md Part 6</t>
  </si>
  <si>
    <t>V-08</t>
  </si>
  <si>
    <t>Recovery of administrator access after losing a device has not been tested</t>
  </si>
  <si>
    <t>A-09, A-08</t>
  </si>
  <si>
    <t>V-09</t>
  </si>
  <si>
    <t>Record metadata is stored unencrypted</t>
  </si>
  <si>
    <t>tracker@9124656:infra/lambda/api.mjs; data inventory D-21</t>
  </si>
  <si>
    <t>By design</t>
  </si>
  <si>
    <t>V-10</t>
  </si>
  <si>
    <t>Backup retention (up to 3 years) is set by a technical setting, not a retention decision, and is longer than a user would expect after deletion</t>
  </si>
  <si>
    <t>A-02, A-14</t>
  </si>
  <si>
    <t>tracker-stack.ts:322</t>
  </si>
  <si>
    <t>V-11</t>
  </si>
  <si>
    <t>No privacy notice, terms, or log of user requests</t>
  </si>
  <si>
    <t>System description 2, 3.4</t>
  </si>
  <si>
    <t>Open (Phase 6)</t>
  </si>
  <si>
    <t>V-12</t>
  </si>
  <si>
    <t>User sign-in uses the Cognito Lite plan (no compromised-credential or risk-based checks); password policy is length-only, 10 characters</t>
  </si>
  <si>
    <t>tracker-stack.ts:132-141</t>
  </si>
  <si>
    <t>Invitations carry a temporary password by email; users may email themselves their recovery code</t>
  </si>
  <si>
    <t>A-04, A-01</t>
  </si>
  <si>
    <t>tracker-stack.ts:87-94; data flow 9, 10</t>
  </si>
  <si>
    <t>Domain registration and DNS live in the same AWS account as the app and an unrelated personal site; registrar transfer lock unverified</t>
  </si>
  <si>
    <t>System description 3.1; D-007</t>
  </si>
  <si>
    <t>Data passphrase strength is checked by length only (12 characters)</t>
  </si>
  <si>
    <t>tracker@9124656:web/js/app.js:32</t>
  </si>
  <si>
    <t>Condition</t>
  </si>
  <si>
    <t>Effect on risk</t>
  </si>
  <si>
    <t>One operator does everything</t>
  </si>
  <si>
    <t>No separation of duties or independent review; key-person dependency</t>
  </si>
  <si>
    <t>PC-02</t>
  </si>
  <si>
    <t>The operator controls the code that handles users' passphrases</t>
  </si>
  <si>
    <t>End-to-end encryption protects stored data from the operator, but not from a changed app</t>
  </si>
  <si>
    <t>PC-03</t>
  </si>
  <si>
    <t>Most data is special-category, and some is about people without accounts</t>
  </si>
  <si>
    <t>Raises the impact of any confidentiality breach</t>
  </si>
  <si>
    <t>PC-04</t>
  </si>
  <si>
    <t>Users are friends and family</t>
  </si>
  <si>
    <t>Informal communication; lower likelihood of complaints; higher personal cost if trust breaks</t>
  </si>
  <si>
    <t>PC-05</t>
  </si>
  <si>
    <t>Near-zero budget</t>
  </si>
  <si>
    <t>Favours free controls; paid tools need a clear risk case</t>
  </si>
  <si>
    <t>The app works offline and keeps an encrypted copy on each device</t>
  </si>
  <si>
    <t>Lowers the impact of outages and of some data loss</t>
  </si>
  <si>
    <t>PC-07</t>
  </si>
  <si>
    <t>All user content is end-to-end encrypted</t>
  </si>
  <si>
    <t>Lowers the impact of most server-side compromises to metadata and availability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</si>
</sst>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name val="Arial"/>
    </font>
    <font>
      <sz val="10"/>
      <name val="Arial"/>
    </font>
    <font>
      <b/>
      <sz val="10"/>
      <color rgb="FFFFFFFF"/>
      <name val="Arial"/>
    </font>
    <font>
      <sz val="10"/>
      <color rgb="FF0000FF"/>
      <name val="Arial"/>
    </font>
  </fonts>
  <fills count="4">
    <fill>
      <patternFill patternType="none"/>
    </fill>
    <fill>
      <patternFill patternType="gray125"/>
    </fill>
    <fill>
      <patternFill patternType="solid">
        <fgColor rgb="FF1F3864"/>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top" wrapText="1"/>
    </xf>
    <xf numFmtId="0" fontId="2" fillId="0" borderId="1" xfId="0" applyFont="1" applyBorder="1" applyAlignment="1">
      <alignment horizontal="center" vertical="top" wrapText="1"/>
    </xf>
    <xf numFmtId="0" fontId="2" fillId="0" borderId="1" xfId="0" applyFont="1" applyBorder="1" applyAlignment="1">
      <alignment vertical="top" wrapText="1"/>
    </xf>
    <xf numFmtId="0" fontId="4" fillId="0" borderId="1" xfId="0" applyFont="1" applyBorder="1" applyAlignment="1">
      <alignment horizontal="center" vertical="top" wrapText="1"/>
    </xf>
    <xf numFmtId="0" fontId="2" fillId="3" borderId="1" xfId="0" applyFont="1" applyFill="1" applyBorder="1" applyAlignment="1">
      <alignment horizontal="center" vertical="top" wrapText="1"/>
    </xf>
    <xf numFmtId="0" fontId="2" fillId="3" borderId="1" xfId="0" applyFont="1" applyFill="1" applyBorder="1" applyAlignment="1">
      <alignment vertical="top" wrapText="1"/>
    </xf>
  </cellXfs>
  <cellStyles count="1">
    <cellStyle name="Normal" xfId="0" builtinId="0"/>
  </cellStyles>
  <dxfs count="20">
    <dxf>
      <fill>
        <patternFill patternType="solid">
          <fgColor rgb="FFFF7C80"/>
        </patternFill>
      </fill>
    </dxf>
    <dxf>
      <fill>
        <patternFill patternType="solid">
          <fgColor rgb="FFF4B183"/>
        </patternFill>
      </fill>
    </dxf>
    <dxf>
      <fill>
        <patternFill patternType="solid">
          <fgColor rgb="FFFFE699"/>
        </patternFill>
      </fill>
    </dxf>
    <dxf>
      <fill>
        <patternFill patternType="solid">
          <fgColor rgb="FFC6E0B4"/>
        </patternFill>
      </fill>
    </dxf>
    <dxf>
      <fill>
        <patternFill patternType="solid">
          <fgColor rgb="FF63BE7B"/>
        </patternFill>
      </fill>
    </dxf>
    <dxf>
      <fill>
        <patternFill patternType="solid">
          <fgColor rgb="FFFF7C80"/>
        </patternFill>
      </fill>
    </dxf>
    <dxf>
      <fill>
        <patternFill patternType="solid">
          <fgColor rgb="FFF4B183"/>
        </patternFill>
      </fill>
    </dxf>
    <dxf>
      <fill>
        <patternFill patternType="solid">
          <fgColor rgb="FFFFE699"/>
        </patternFill>
      </fill>
    </dxf>
    <dxf>
      <fill>
        <patternFill patternType="solid">
          <fgColor rgb="FFC6E0B4"/>
        </patternFill>
      </fill>
    </dxf>
    <dxf>
      <fill>
        <patternFill patternType="solid">
          <fgColor rgb="FF63BE7B"/>
        </patternFill>
      </fill>
    </dxf>
    <dxf>
      <fill>
        <patternFill patternType="solid">
          <fgColor rgb="FFFF7C80"/>
        </patternFill>
      </fill>
    </dxf>
    <dxf>
      <fill>
        <patternFill patternType="solid">
          <fgColor rgb="FFF4B183"/>
        </patternFill>
      </fill>
    </dxf>
    <dxf>
      <fill>
        <patternFill patternType="solid">
          <fgColor rgb="FFFFE699"/>
        </patternFill>
      </fill>
    </dxf>
    <dxf>
      <fill>
        <patternFill patternType="solid">
          <fgColor rgb="FFC6E0B4"/>
        </patternFill>
      </fill>
    </dxf>
    <dxf>
      <fill>
        <patternFill patternType="solid">
          <fgColor rgb="FF63BE7B"/>
        </patternFill>
      </fill>
    </dxf>
    <dxf>
      <fill>
        <patternFill patternType="solid">
          <fgColor rgb="FFFF7C80"/>
        </patternFill>
      </fill>
    </dxf>
    <dxf>
      <fill>
        <patternFill patternType="solid">
          <fgColor rgb="FFF4B183"/>
        </patternFill>
      </fill>
    </dxf>
    <dxf>
      <fill>
        <patternFill patternType="solid">
          <fgColor rgb="FFFFE699"/>
        </patternFill>
      </fill>
    </dxf>
    <dxf>
      <fill>
        <patternFill patternType="solid">
          <fgColor rgb="FFC6E0B4"/>
        </patternFill>
      </fill>
    </dxf>
    <dxf>
      <fill>
        <patternFill patternType="solid">
          <fgColor rgb="FF63BE7B"/>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5"/>
  <sheetViews>
    <sheetView tabSelected="1" workbookViewId="0"/>
  </sheetViews>
  <sheetFormatPr defaultRowHeight="15" x14ac:dyDescent="0.25"/>
  <cols>
    <col min="1" max="1" width="130" customWidth="1"/>
  </cols>
  <sheetData>
    <row r="1" spans="1:1" x14ac:dyDescent="0.25">
      <c r="A1" s="1" t="s">
        <v>0</v>
      </c>
    </row>
    <row r="2" spans="1:1" x14ac:dyDescent="0.25">
      <c r="A2" s="2" t="s">
        <v>1</v>
      </c>
    </row>
    <row r="3" spans="1:1" x14ac:dyDescent="0.25">
      <c r="A3" s="2"/>
    </row>
    <row r="4" spans="1:1" x14ac:dyDescent="0.25">
      <c r="A4" s="1" t="s">
        <v>2</v>
      </c>
    </row>
    <row r="5" spans="1:1" x14ac:dyDescent="0.25">
      <c r="A5" s="2" t="s">
        <v>3</v>
      </c>
    </row>
    <row r="6" spans="1:1" x14ac:dyDescent="0.25">
      <c r="A6" s="2" t="s">
        <v>4</v>
      </c>
    </row>
    <row r="7" spans="1:1" x14ac:dyDescent="0.25">
      <c r="A7" s="2" t="s">
        <v>5</v>
      </c>
    </row>
    <row r="8" spans="1:1" x14ac:dyDescent="0.25">
      <c r="A8" s="2" t="s">
        <v>6</v>
      </c>
    </row>
    <row r="9" spans="1:1" x14ac:dyDescent="0.25">
      <c r="A9" s="2"/>
    </row>
    <row r="10" spans="1:1" x14ac:dyDescent="0.25">
      <c r="A10" s="1" t="s">
        <v>7</v>
      </c>
    </row>
    <row r="11" spans="1:1" x14ac:dyDescent="0.25">
      <c r="A11" s="2" t="s">
        <v>8</v>
      </c>
    </row>
    <row r="12" spans="1:1" x14ac:dyDescent="0.25">
      <c r="A12" s="2" t="s">
        <v>9</v>
      </c>
    </row>
    <row r="13" spans="1:1" x14ac:dyDescent="0.25">
      <c r="A13" s="2" t="s">
        <v>10</v>
      </c>
    </row>
    <row r="14" spans="1:1" x14ac:dyDescent="0.25">
      <c r="A14" s="2"/>
    </row>
    <row r="15" spans="1:1" x14ac:dyDescent="0.25">
      <c r="A15" s="2" t="s">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20"/>
  <sheetViews>
    <sheetView workbookViewId="0">
      <pane xSplit="2" ySplit="1" topLeftCell="C2" activePane="bottomRight" state="frozen"/>
      <selection pane="topRight"/>
      <selection pane="bottomLeft"/>
      <selection pane="bottomRight"/>
    </sheetView>
  </sheetViews>
  <sheetFormatPr defaultRowHeight="15" x14ac:dyDescent="0.25"/>
  <cols>
    <col min="1" max="1" width="8" customWidth="1"/>
    <col min="2" max="2" width="26" customWidth="1"/>
    <col min="3" max="3" width="45" customWidth="1"/>
    <col min="4" max="4" width="12" customWidth="1"/>
    <col min="5" max="5" width="18" customWidth="1"/>
    <col min="6" max="6" width="14" customWidth="1"/>
    <col min="7" max="7" width="16" customWidth="1"/>
    <col min="8" max="9" width="45" customWidth="1"/>
    <col min="10" max="12" width="8" customWidth="1"/>
    <col min="13" max="13" width="11" customWidth="1"/>
    <col min="14" max="16" width="8" customWidth="1"/>
    <col min="17" max="18" width="11" customWidth="1"/>
    <col min="19" max="19" width="45" customWidth="1"/>
    <col min="20" max="22" width="8" customWidth="1"/>
    <col min="23" max="23" width="11" customWidth="1"/>
    <col min="24" max="24" width="10" customWidth="1"/>
    <col min="25" max="25" width="18" customWidth="1"/>
    <col min="26" max="26" width="11" customWidth="1"/>
    <col min="27" max="27" width="13" customWidth="1"/>
    <col min="28" max="28" width="40" customWidth="1"/>
  </cols>
  <sheetData>
    <row r="1" spans="1:28" ht="32.1" customHeight="1" x14ac:dyDescent="0.25">
      <c r="A1" s="3" t="s">
        <v>12</v>
      </c>
      <c r="B1" s="3" t="s">
        <v>13</v>
      </c>
      <c r="C1" s="3" t="s">
        <v>14</v>
      </c>
      <c r="D1" s="3" t="s">
        <v>15</v>
      </c>
      <c r="E1" s="3" t="s">
        <v>16</v>
      </c>
      <c r="F1" s="3" t="s">
        <v>17</v>
      </c>
      <c r="G1" s="3" t="s">
        <v>18</v>
      </c>
      <c r="H1" s="3" t="s">
        <v>19</v>
      </c>
      <c r="I1" s="3" t="s">
        <v>20</v>
      </c>
      <c r="J1" s="3" t="s">
        <v>21</v>
      </c>
      <c r="K1" s="3" t="s">
        <v>22</v>
      </c>
      <c r="L1" s="3" t="s">
        <v>23</v>
      </c>
      <c r="M1" s="3" t="s">
        <v>24</v>
      </c>
      <c r="N1" s="3" t="s">
        <v>25</v>
      </c>
      <c r="O1" s="3" t="s">
        <v>26</v>
      </c>
      <c r="P1" s="3" t="s">
        <v>27</v>
      </c>
      <c r="Q1" s="3" t="s">
        <v>28</v>
      </c>
      <c r="R1" s="3" t="s">
        <v>29</v>
      </c>
      <c r="S1" s="3" t="s">
        <v>30</v>
      </c>
      <c r="T1" s="3" t="s">
        <v>31</v>
      </c>
      <c r="U1" s="3" t="s">
        <v>32</v>
      </c>
      <c r="V1" s="3" t="s">
        <v>33</v>
      </c>
      <c r="W1" s="3" t="s">
        <v>34</v>
      </c>
      <c r="X1" s="3" t="s">
        <v>35</v>
      </c>
      <c r="Y1" s="3" t="s">
        <v>36</v>
      </c>
      <c r="Z1" s="3" t="s">
        <v>37</v>
      </c>
      <c r="AA1" s="3" t="s">
        <v>38</v>
      </c>
      <c r="AB1" s="3" t="s">
        <v>39</v>
      </c>
    </row>
    <row r="2" spans="1:28" ht="63.75" x14ac:dyDescent="0.25">
      <c r="A2" s="4" t="s">
        <v>40</v>
      </c>
      <c r="B2" s="5" t="s">
        <v>41</v>
      </c>
      <c r="C2" s="5" t="s">
        <v>42</v>
      </c>
      <c r="D2" s="5" t="s">
        <v>43</v>
      </c>
      <c r="E2" s="5" t="s">
        <v>44</v>
      </c>
      <c r="F2" s="5" t="s">
        <v>45</v>
      </c>
      <c r="G2" s="5" t="s">
        <v>46</v>
      </c>
      <c r="H2" s="5" t="s">
        <v>47</v>
      </c>
      <c r="I2" s="5" t="s">
        <v>48</v>
      </c>
      <c r="J2" s="6">
        <v>4</v>
      </c>
      <c r="K2" s="6">
        <v>5</v>
      </c>
      <c r="L2" s="4">
        <f t="shared" ref="L2:L20" si="0">J2*K2</f>
        <v>20</v>
      </c>
      <c r="M2" s="4" t="str">
        <f>INDEX(Scales!$C$12:$G$16,6-J2,K2)</f>
        <v>Very High</v>
      </c>
      <c r="N2" s="6">
        <v>2</v>
      </c>
      <c r="O2" s="6">
        <v>5</v>
      </c>
      <c r="P2" s="4">
        <f t="shared" ref="P2:P20" si="1">N2*O2</f>
        <v>10</v>
      </c>
      <c r="Q2" s="4" t="str">
        <f>INDEX(Scales!$C$12:$G$16,6-N2,O2)</f>
        <v>Moderate</v>
      </c>
      <c r="R2" s="4" t="s">
        <v>49</v>
      </c>
      <c r="S2" s="5" t="s">
        <v>50</v>
      </c>
      <c r="T2" s="6">
        <v>1</v>
      </c>
      <c r="U2" s="6">
        <v>5</v>
      </c>
      <c r="V2" s="4">
        <f t="shared" ref="V2:V20" si="2">T2*U2</f>
        <v>5</v>
      </c>
      <c r="W2" s="4" t="str">
        <f>INDEX(Scales!$C$12:$G$16,6-T2,U2)</f>
        <v>Low</v>
      </c>
      <c r="X2" s="4" t="s">
        <v>51</v>
      </c>
      <c r="Y2" s="5" t="s">
        <v>52</v>
      </c>
      <c r="Z2" s="4" t="s">
        <v>53</v>
      </c>
      <c r="AA2" s="7" t="s">
        <v>54</v>
      </c>
      <c r="AB2" s="8"/>
    </row>
    <row r="3" spans="1:28" ht="63.75" x14ac:dyDescent="0.25">
      <c r="A3" s="4" t="s">
        <v>55</v>
      </c>
      <c r="B3" s="5" t="s">
        <v>56</v>
      </c>
      <c r="C3" s="5" t="s">
        <v>57</v>
      </c>
      <c r="D3" s="5" t="s">
        <v>43</v>
      </c>
      <c r="E3" s="5" t="s">
        <v>58</v>
      </c>
      <c r="F3" s="5" t="s">
        <v>59</v>
      </c>
      <c r="G3" s="5" t="s">
        <v>60</v>
      </c>
      <c r="H3" s="5" t="s">
        <v>61</v>
      </c>
      <c r="I3" s="5" t="s">
        <v>62</v>
      </c>
      <c r="J3" s="6">
        <v>4</v>
      </c>
      <c r="K3" s="6">
        <v>5</v>
      </c>
      <c r="L3" s="4">
        <f t="shared" si="0"/>
        <v>20</v>
      </c>
      <c r="M3" s="4" t="str">
        <f>INDEX(Scales!$C$12:$G$16,6-J3,K3)</f>
        <v>Very High</v>
      </c>
      <c r="N3" s="6">
        <v>2</v>
      </c>
      <c r="O3" s="6">
        <v>5</v>
      </c>
      <c r="P3" s="4">
        <f t="shared" si="1"/>
        <v>10</v>
      </c>
      <c r="Q3" s="4" t="str">
        <f>INDEX(Scales!$C$12:$G$16,6-N3,O3)</f>
        <v>Moderate</v>
      </c>
      <c r="R3" s="4" t="s">
        <v>49</v>
      </c>
      <c r="S3" s="5" t="s">
        <v>63</v>
      </c>
      <c r="T3" s="6">
        <v>1</v>
      </c>
      <c r="U3" s="6">
        <v>5</v>
      </c>
      <c r="V3" s="4">
        <f t="shared" si="2"/>
        <v>5</v>
      </c>
      <c r="W3" s="4" t="str">
        <f>INDEX(Scales!$C$12:$G$16,6-T3,U3)</f>
        <v>Low</v>
      </c>
      <c r="X3" s="4" t="s">
        <v>51</v>
      </c>
      <c r="Y3" s="5" t="s">
        <v>52</v>
      </c>
      <c r="Z3" s="4" t="s">
        <v>53</v>
      </c>
      <c r="AA3" s="7" t="s">
        <v>54</v>
      </c>
      <c r="AB3" s="8"/>
    </row>
    <row r="4" spans="1:28" ht="51" x14ac:dyDescent="0.25">
      <c r="A4" s="4" t="s">
        <v>64</v>
      </c>
      <c r="B4" s="5" t="s">
        <v>65</v>
      </c>
      <c r="C4" s="5" t="s">
        <v>66</v>
      </c>
      <c r="D4" s="5" t="s">
        <v>67</v>
      </c>
      <c r="E4" s="5"/>
      <c r="F4" s="5" t="s">
        <v>68</v>
      </c>
      <c r="G4" s="5" t="s">
        <v>69</v>
      </c>
      <c r="H4" s="5" t="s">
        <v>70</v>
      </c>
      <c r="I4" s="5" t="s">
        <v>71</v>
      </c>
      <c r="J4" s="6">
        <v>4</v>
      </c>
      <c r="K4" s="6">
        <v>5</v>
      </c>
      <c r="L4" s="4">
        <f t="shared" si="0"/>
        <v>20</v>
      </c>
      <c r="M4" s="4" t="str">
        <f>INDEX(Scales!$C$12:$G$16,6-J4,K4)</f>
        <v>Very High</v>
      </c>
      <c r="N4" s="6">
        <v>3</v>
      </c>
      <c r="O4" s="6">
        <v>3</v>
      </c>
      <c r="P4" s="4">
        <f t="shared" si="1"/>
        <v>9</v>
      </c>
      <c r="Q4" s="4" t="str">
        <f>INDEX(Scales!$C$12:$G$16,6-N4,O4)</f>
        <v>Moderate</v>
      </c>
      <c r="R4" s="4" t="s">
        <v>49</v>
      </c>
      <c r="S4" s="5" t="s">
        <v>72</v>
      </c>
      <c r="T4" s="6">
        <v>2</v>
      </c>
      <c r="U4" s="6">
        <v>3</v>
      </c>
      <c r="V4" s="4">
        <f t="shared" si="2"/>
        <v>6</v>
      </c>
      <c r="W4" s="4" t="str">
        <f>INDEX(Scales!$C$12:$G$16,6-T4,U4)</f>
        <v>Low</v>
      </c>
      <c r="X4" s="4" t="s">
        <v>51</v>
      </c>
      <c r="Y4" s="5" t="s">
        <v>52</v>
      </c>
      <c r="Z4" s="4" t="s">
        <v>53</v>
      </c>
      <c r="AA4" s="7" t="s">
        <v>54</v>
      </c>
      <c r="AB4" s="8"/>
    </row>
    <row r="5" spans="1:28" ht="76.5" x14ac:dyDescent="0.25">
      <c r="A5" s="4" t="s">
        <v>73</v>
      </c>
      <c r="B5" s="5" t="s">
        <v>74</v>
      </c>
      <c r="C5" s="5" t="s">
        <v>75</v>
      </c>
      <c r="D5" s="5" t="s">
        <v>76</v>
      </c>
      <c r="E5" s="5" t="s">
        <v>77</v>
      </c>
      <c r="F5" s="5" t="s">
        <v>78</v>
      </c>
      <c r="G5" s="5" t="s">
        <v>79</v>
      </c>
      <c r="H5" s="5" t="s">
        <v>80</v>
      </c>
      <c r="I5" s="5" t="s">
        <v>81</v>
      </c>
      <c r="J5" s="6">
        <v>1</v>
      </c>
      <c r="K5" s="6">
        <v>5</v>
      </c>
      <c r="L5" s="4">
        <f t="shared" si="0"/>
        <v>5</v>
      </c>
      <c r="M5" s="4" t="str">
        <f>INDEX(Scales!$C$12:$G$16,6-J5,K5)</f>
        <v>Low</v>
      </c>
      <c r="N5" s="6">
        <v>1</v>
      </c>
      <c r="O5" s="6">
        <v>5</v>
      </c>
      <c r="P5" s="4">
        <f t="shared" si="1"/>
        <v>5</v>
      </c>
      <c r="Q5" s="4" t="str">
        <f>INDEX(Scales!$C$12:$G$16,6-N5,O5)</f>
        <v>Low</v>
      </c>
      <c r="R5" s="4" t="s">
        <v>82</v>
      </c>
      <c r="S5" s="5" t="s">
        <v>83</v>
      </c>
      <c r="T5" s="6">
        <v>1</v>
      </c>
      <c r="U5" s="6">
        <v>5</v>
      </c>
      <c r="V5" s="4">
        <f t="shared" si="2"/>
        <v>5</v>
      </c>
      <c r="W5" s="4" t="str">
        <f>INDEX(Scales!$C$12:$G$16,6-T5,U5)</f>
        <v>Low</v>
      </c>
      <c r="X5" s="4" t="s">
        <v>51</v>
      </c>
      <c r="Y5" s="5" t="s">
        <v>52</v>
      </c>
      <c r="Z5" s="4" t="s">
        <v>84</v>
      </c>
      <c r="AA5" s="7" t="s">
        <v>54</v>
      </c>
      <c r="AB5" s="8" t="s">
        <v>85</v>
      </c>
    </row>
    <row r="6" spans="1:28" ht="63.75" x14ac:dyDescent="0.25">
      <c r="A6" s="4" t="s">
        <v>86</v>
      </c>
      <c r="B6" s="5" t="s">
        <v>87</v>
      </c>
      <c r="C6" s="5" t="s">
        <v>88</v>
      </c>
      <c r="D6" s="5" t="s">
        <v>89</v>
      </c>
      <c r="E6" s="5" t="s">
        <v>90</v>
      </c>
      <c r="F6" s="5" t="s">
        <v>91</v>
      </c>
      <c r="G6" s="5" t="s">
        <v>92</v>
      </c>
      <c r="H6" s="5" t="s">
        <v>93</v>
      </c>
      <c r="I6" s="5" t="s">
        <v>94</v>
      </c>
      <c r="J6" s="6">
        <v>3</v>
      </c>
      <c r="K6" s="6">
        <v>5</v>
      </c>
      <c r="L6" s="4">
        <f t="shared" si="0"/>
        <v>15</v>
      </c>
      <c r="M6" s="4" t="str">
        <f>INDEX(Scales!$C$12:$G$16,6-J6,K6)</f>
        <v>High</v>
      </c>
      <c r="N6" s="6">
        <v>2</v>
      </c>
      <c r="O6" s="6">
        <v>5</v>
      </c>
      <c r="P6" s="4">
        <f t="shared" si="1"/>
        <v>10</v>
      </c>
      <c r="Q6" s="4" t="str">
        <f>INDEX(Scales!$C$12:$G$16,6-N6,O6)</f>
        <v>Moderate</v>
      </c>
      <c r="R6" s="4" t="s">
        <v>49</v>
      </c>
      <c r="S6" s="5" t="s">
        <v>95</v>
      </c>
      <c r="T6" s="6">
        <v>1</v>
      </c>
      <c r="U6" s="6">
        <v>5</v>
      </c>
      <c r="V6" s="4">
        <f t="shared" si="2"/>
        <v>5</v>
      </c>
      <c r="W6" s="4" t="str">
        <f>INDEX(Scales!$C$12:$G$16,6-T6,U6)</f>
        <v>Low</v>
      </c>
      <c r="X6" s="4" t="s">
        <v>51</v>
      </c>
      <c r="Y6" s="5" t="s">
        <v>52</v>
      </c>
      <c r="Z6" s="4" t="s">
        <v>53</v>
      </c>
      <c r="AA6" s="7" t="s">
        <v>54</v>
      </c>
      <c r="AB6" s="8"/>
    </row>
    <row r="7" spans="1:28" ht="76.5" x14ac:dyDescent="0.25">
      <c r="A7" s="4" t="s">
        <v>96</v>
      </c>
      <c r="B7" s="5" t="s">
        <v>97</v>
      </c>
      <c r="C7" s="5" t="s">
        <v>98</v>
      </c>
      <c r="D7" s="5" t="s">
        <v>99</v>
      </c>
      <c r="E7" s="5" t="s">
        <v>100</v>
      </c>
      <c r="F7" s="5" t="s">
        <v>101</v>
      </c>
      <c r="G7" s="5" t="s">
        <v>102</v>
      </c>
      <c r="H7" s="5" t="s">
        <v>103</v>
      </c>
      <c r="I7" s="5" t="s">
        <v>104</v>
      </c>
      <c r="J7" s="6">
        <v>4</v>
      </c>
      <c r="K7" s="6">
        <v>4</v>
      </c>
      <c r="L7" s="4">
        <f t="shared" si="0"/>
        <v>16</v>
      </c>
      <c r="M7" s="4" t="str">
        <f>INDEX(Scales!$C$12:$G$16,6-J7,K7)</f>
        <v>High</v>
      </c>
      <c r="N7" s="6">
        <v>3</v>
      </c>
      <c r="O7" s="6">
        <v>4</v>
      </c>
      <c r="P7" s="4">
        <f t="shared" si="1"/>
        <v>12</v>
      </c>
      <c r="Q7" s="4" t="str">
        <f>INDEX(Scales!$C$12:$G$16,6-N7,O7)</f>
        <v>Moderate</v>
      </c>
      <c r="R7" s="4" t="s">
        <v>49</v>
      </c>
      <c r="S7" s="5" t="s">
        <v>105</v>
      </c>
      <c r="T7" s="6">
        <v>3</v>
      </c>
      <c r="U7" s="6">
        <v>4</v>
      </c>
      <c r="V7" s="4">
        <f t="shared" si="2"/>
        <v>12</v>
      </c>
      <c r="W7" s="4" t="str">
        <f>INDEX(Scales!$C$12:$G$16,6-T7,U7)</f>
        <v>Moderate</v>
      </c>
      <c r="X7" s="4" t="s">
        <v>51</v>
      </c>
      <c r="Y7" s="5" t="s">
        <v>52</v>
      </c>
      <c r="Z7" s="4" t="s">
        <v>53</v>
      </c>
      <c r="AA7" s="7" t="s">
        <v>54</v>
      </c>
      <c r="AB7" s="8"/>
    </row>
    <row r="8" spans="1:28" ht="63.75" x14ac:dyDescent="0.25">
      <c r="A8" s="4" t="s">
        <v>106</v>
      </c>
      <c r="B8" s="5" t="s">
        <v>107</v>
      </c>
      <c r="C8" s="5" t="s">
        <v>108</v>
      </c>
      <c r="D8" s="5" t="s">
        <v>109</v>
      </c>
      <c r="E8" s="5" t="s">
        <v>110</v>
      </c>
      <c r="F8" s="5" t="s">
        <v>111</v>
      </c>
      <c r="G8" s="5" t="s">
        <v>112</v>
      </c>
      <c r="H8" s="5" t="s">
        <v>113</v>
      </c>
      <c r="I8" s="5" t="s">
        <v>114</v>
      </c>
      <c r="J8" s="6">
        <v>4</v>
      </c>
      <c r="K8" s="6">
        <v>4</v>
      </c>
      <c r="L8" s="4">
        <f t="shared" si="0"/>
        <v>16</v>
      </c>
      <c r="M8" s="4" t="str">
        <f>INDEX(Scales!$C$12:$G$16,6-J8,K8)</f>
        <v>High</v>
      </c>
      <c r="N8" s="6">
        <v>2</v>
      </c>
      <c r="O8" s="6">
        <v>3</v>
      </c>
      <c r="P8" s="4">
        <f t="shared" si="1"/>
        <v>6</v>
      </c>
      <c r="Q8" s="4" t="str">
        <f>INDEX(Scales!$C$12:$G$16,6-N8,O8)</f>
        <v>Low</v>
      </c>
      <c r="R8" s="4" t="s">
        <v>49</v>
      </c>
      <c r="S8" s="5" t="s">
        <v>115</v>
      </c>
      <c r="T8" s="6">
        <v>1</v>
      </c>
      <c r="U8" s="6">
        <v>3</v>
      </c>
      <c r="V8" s="4">
        <f t="shared" si="2"/>
        <v>3</v>
      </c>
      <c r="W8" s="4" t="str">
        <f>INDEX(Scales!$C$12:$G$16,6-T8,U8)</f>
        <v>Very Low</v>
      </c>
      <c r="X8" s="4" t="s">
        <v>51</v>
      </c>
      <c r="Y8" s="5" t="s">
        <v>52</v>
      </c>
      <c r="Z8" s="4" t="s">
        <v>84</v>
      </c>
      <c r="AA8" s="7" t="s">
        <v>54</v>
      </c>
      <c r="AB8" s="8" t="s">
        <v>116</v>
      </c>
    </row>
    <row r="9" spans="1:28" ht="51" x14ac:dyDescent="0.25">
      <c r="A9" s="4" t="s">
        <v>117</v>
      </c>
      <c r="B9" s="5" t="s">
        <v>118</v>
      </c>
      <c r="C9" s="5" t="s">
        <v>119</v>
      </c>
      <c r="D9" s="5" t="s">
        <v>120</v>
      </c>
      <c r="E9" s="5" t="s">
        <v>121</v>
      </c>
      <c r="F9" s="5" t="s">
        <v>122</v>
      </c>
      <c r="G9" s="5" t="s">
        <v>123</v>
      </c>
      <c r="H9" s="5" t="s">
        <v>124</v>
      </c>
      <c r="I9" s="5" t="s">
        <v>125</v>
      </c>
      <c r="J9" s="6">
        <v>3</v>
      </c>
      <c r="K9" s="6">
        <v>5</v>
      </c>
      <c r="L9" s="4">
        <f t="shared" si="0"/>
        <v>15</v>
      </c>
      <c r="M9" s="4" t="str">
        <f>INDEX(Scales!$C$12:$G$16,6-J9,K9)</f>
        <v>High</v>
      </c>
      <c r="N9" s="6">
        <v>1</v>
      </c>
      <c r="O9" s="6">
        <v>4</v>
      </c>
      <c r="P9" s="4">
        <f t="shared" si="1"/>
        <v>4</v>
      </c>
      <c r="Q9" s="4" t="str">
        <f>INDEX(Scales!$C$12:$G$16,6-N9,O9)</f>
        <v>Low</v>
      </c>
      <c r="R9" s="4" t="s">
        <v>49</v>
      </c>
      <c r="S9" s="5" t="s">
        <v>126</v>
      </c>
      <c r="T9" s="6">
        <v>1</v>
      </c>
      <c r="U9" s="6">
        <v>4</v>
      </c>
      <c r="V9" s="4">
        <f t="shared" si="2"/>
        <v>4</v>
      </c>
      <c r="W9" s="4" t="str">
        <f>INDEX(Scales!$C$12:$G$16,6-T9,U9)</f>
        <v>Low</v>
      </c>
      <c r="X9" s="4" t="s">
        <v>51</v>
      </c>
      <c r="Y9" s="5" t="s">
        <v>52</v>
      </c>
      <c r="Z9" s="4" t="s">
        <v>84</v>
      </c>
      <c r="AA9" s="7" t="s">
        <v>54</v>
      </c>
      <c r="AB9" s="8" t="s">
        <v>127</v>
      </c>
    </row>
    <row r="10" spans="1:28" ht="51" x14ac:dyDescent="0.25">
      <c r="A10" s="4" t="s">
        <v>128</v>
      </c>
      <c r="B10" s="5" t="s">
        <v>129</v>
      </c>
      <c r="C10" s="5" t="s">
        <v>130</v>
      </c>
      <c r="D10" s="5" t="s">
        <v>131</v>
      </c>
      <c r="E10" s="5" t="s">
        <v>132</v>
      </c>
      <c r="F10" s="5" t="s">
        <v>133</v>
      </c>
      <c r="G10" s="5" t="s">
        <v>134</v>
      </c>
      <c r="H10" s="5" t="s">
        <v>135</v>
      </c>
      <c r="I10" s="5" t="s">
        <v>136</v>
      </c>
      <c r="J10" s="6">
        <v>3</v>
      </c>
      <c r="K10" s="6">
        <v>3</v>
      </c>
      <c r="L10" s="4">
        <f t="shared" si="0"/>
        <v>9</v>
      </c>
      <c r="M10" s="4" t="str">
        <f>INDEX(Scales!$C$12:$G$16,6-J10,K10)</f>
        <v>Moderate</v>
      </c>
      <c r="N10" s="6">
        <v>3</v>
      </c>
      <c r="O10" s="6">
        <v>3</v>
      </c>
      <c r="P10" s="4">
        <f t="shared" si="1"/>
        <v>9</v>
      </c>
      <c r="Q10" s="4" t="str">
        <f>INDEX(Scales!$C$12:$G$16,6-N10,O10)</f>
        <v>Moderate</v>
      </c>
      <c r="R10" s="4" t="s">
        <v>49</v>
      </c>
      <c r="S10" s="5" t="s">
        <v>137</v>
      </c>
      <c r="T10" s="6">
        <v>3</v>
      </c>
      <c r="U10" s="6">
        <v>2</v>
      </c>
      <c r="V10" s="4">
        <f t="shared" si="2"/>
        <v>6</v>
      </c>
      <c r="W10" s="4" t="str">
        <f>INDEX(Scales!$C$12:$G$16,6-T10,U10)</f>
        <v>Low</v>
      </c>
      <c r="X10" s="4" t="s">
        <v>51</v>
      </c>
      <c r="Y10" s="5" t="s">
        <v>52</v>
      </c>
      <c r="Z10" s="4" t="s">
        <v>53</v>
      </c>
      <c r="AA10" s="7" t="s">
        <v>54</v>
      </c>
      <c r="AB10" s="8"/>
    </row>
    <row r="11" spans="1:28" ht="38.25" x14ac:dyDescent="0.25">
      <c r="A11" s="4" t="s">
        <v>138</v>
      </c>
      <c r="B11" s="5" t="s">
        <v>139</v>
      </c>
      <c r="C11" s="5" t="s">
        <v>140</v>
      </c>
      <c r="D11" s="5" t="s">
        <v>141</v>
      </c>
      <c r="E11" s="5"/>
      <c r="F11" s="5" t="s">
        <v>142</v>
      </c>
      <c r="G11" s="5" t="s">
        <v>143</v>
      </c>
      <c r="H11" s="5" t="s">
        <v>144</v>
      </c>
      <c r="I11" s="5" t="s">
        <v>145</v>
      </c>
      <c r="J11" s="6">
        <v>3</v>
      </c>
      <c r="K11" s="6">
        <v>2</v>
      </c>
      <c r="L11" s="4">
        <f t="shared" si="0"/>
        <v>6</v>
      </c>
      <c r="M11" s="4" t="str">
        <f>INDEX(Scales!$C$12:$G$16,6-J11,K11)</f>
        <v>Low</v>
      </c>
      <c r="N11" s="6">
        <v>3</v>
      </c>
      <c r="O11" s="6">
        <v>2</v>
      </c>
      <c r="P11" s="4">
        <f t="shared" si="1"/>
        <v>6</v>
      </c>
      <c r="Q11" s="4" t="str">
        <f>INDEX(Scales!$C$12:$G$16,6-N11,O11)</f>
        <v>Low</v>
      </c>
      <c r="R11" s="4" t="s">
        <v>49</v>
      </c>
      <c r="S11" s="5" t="s">
        <v>146</v>
      </c>
      <c r="T11" s="6">
        <v>2</v>
      </c>
      <c r="U11" s="6">
        <v>2</v>
      </c>
      <c r="V11" s="4">
        <f t="shared" si="2"/>
        <v>4</v>
      </c>
      <c r="W11" s="4" t="str">
        <f>INDEX(Scales!$C$12:$G$16,6-T11,U11)</f>
        <v>Low</v>
      </c>
      <c r="X11" s="4" t="s">
        <v>51</v>
      </c>
      <c r="Y11" s="5" t="s">
        <v>52</v>
      </c>
      <c r="Z11" s="4" t="s">
        <v>84</v>
      </c>
      <c r="AA11" s="7" t="s">
        <v>54</v>
      </c>
      <c r="AB11" s="8" t="s">
        <v>49</v>
      </c>
    </row>
    <row r="12" spans="1:28" ht="38.25" x14ac:dyDescent="0.25">
      <c r="A12" s="4" t="s">
        <v>147</v>
      </c>
      <c r="B12" s="5" t="s">
        <v>148</v>
      </c>
      <c r="C12" s="5" t="s">
        <v>149</v>
      </c>
      <c r="D12" s="5" t="s">
        <v>141</v>
      </c>
      <c r="E12" s="5"/>
      <c r="F12" s="5" t="s">
        <v>150</v>
      </c>
      <c r="G12" s="5" t="s">
        <v>151</v>
      </c>
      <c r="H12" s="5" t="s">
        <v>152</v>
      </c>
      <c r="I12" s="5" t="s">
        <v>153</v>
      </c>
      <c r="J12" s="6">
        <v>2</v>
      </c>
      <c r="K12" s="6">
        <v>4</v>
      </c>
      <c r="L12" s="4">
        <f t="shared" si="0"/>
        <v>8</v>
      </c>
      <c r="M12" s="4" t="str">
        <f>INDEX(Scales!$C$12:$G$16,6-J12,K12)</f>
        <v>Low</v>
      </c>
      <c r="N12" s="6">
        <v>2</v>
      </c>
      <c r="O12" s="6">
        <v>4</v>
      </c>
      <c r="P12" s="4">
        <f t="shared" si="1"/>
        <v>8</v>
      </c>
      <c r="Q12" s="4" t="str">
        <f>INDEX(Scales!$C$12:$G$16,6-N12,O12)</f>
        <v>Low</v>
      </c>
      <c r="R12" s="4" t="s">
        <v>49</v>
      </c>
      <c r="S12" s="5" t="s">
        <v>154</v>
      </c>
      <c r="T12" s="6">
        <v>1</v>
      </c>
      <c r="U12" s="6">
        <v>4</v>
      </c>
      <c r="V12" s="4">
        <f t="shared" si="2"/>
        <v>4</v>
      </c>
      <c r="W12" s="4" t="str">
        <f>INDEX(Scales!$C$12:$G$16,6-T12,U12)</f>
        <v>Low</v>
      </c>
      <c r="X12" s="4" t="s">
        <v>51</v>
      </c>
      <c r="Y12" s="5" t="s">
        <v>52</v>
      </c>
      <c r="Z12" s="4" t="s">
        <v>84</v>
      </c>
      <c r="AA12" s="7" t="s">
        <v>54</v>
      </c>
      <c r="AB12" s="8" t="s">
        <v>49</v>
      </c>
    </row>
    <row r="13" spans="1:28" ht="51" x14ac:dyDescent="0.25">
      <c r="A13" s="4" t="s">
        <v>155</v>
      </c>
      <c r="B13" s="5" t="s">
        <v>156</v>
      </c>
      <c r="C13" s="5" t="s">
        <v>157</v>
      </c>
      <c r="D13" s="5" t="s">
        <v>158</v>
      </c>
      <c r="E13" s="5"/>
      <c r="F13" s="5" t="s">
        <v>122</v>
      </c>
      <c r="G13" s="5" t="s">
        <v>159</v>
      </c>
      <c r="H13" s="5" t="s">
        <v>160</v>
      </c>
      <c r="I13" s="5" t="s">
        <v>161</v>
      </c>
      <c r="J13" s="6">
        <v>3</v>
      </c>
      <c r="K13" s="6">
        <v>5</v>
      </c>
      <c r="L13" s="4">
        <f t="shared" si="0"/>
        <v>15</v>
      </c>
      <c r="M13" s="4" t="str">
        <f>INDEX(Scales!$C$12:$G$16,6-J13,K13)</f>
        <v>High</v>
      </c>
      <c r="N13" s="6">
        <v>2</v>
      </c>
      <c r="O13" s="6">
        <v>4</v>
      </c>
      <c r="P13" s="4">
        <f t="shared" si="1"/>
        <v>8</v>
      </c>
      <c r="Q13" s="4" t="str">
        <f>INDEX(Scales!$C$12:$G$16,6-N13,O13)</f>
        <v>Low</v>
      </c>
      <c r="R13" s="4" t="s">
        <v>49</v>
      </c>
      <c r="S13" s="5" t="s">
        <v>162</v>
      </c>
      <c r="T13" s="6">
        <v>1</v>
      </c>
      <c r="U13" s="6">
        <v>4</v>
      </c>
      <c r="V13" s="4">
        <f t="shared" si="2"/>
        <v>4</v>
      </c>
      <c r="W13" s="4" t="str">
        <f>INDEX(Scales!$C$12:$G$16,6-T13,U13)</f>
        <v>Low</v>
      </c>
      <c r="X13" s="4" t="s">
        <v>51</v>
      </c>
      <c r="Y13" s="5" t="s">
        <v>52</v>
      </c>
      <c r="Z13" s="4" t="s">
        <v>84</v>
      </c>
      <c r="AA13" s="7" t="s">
        <v>54</v>
      </c>
      <c r="AB13" s="8" t="s">
        <v>49</v>
      </c>
    </row>
    <row r="14" spans="1:28" ht="38.25" x14ac:dyDescent="0.25">
      <c r="A14" s="4" t="s">
        <v>163</v>
      </c>
      <c r="B14" s="5" t="s">
        <v>164</v>
      </c>
      <c r="C14" s="5" t="s">
        <v>165</v>
      </c>
      <c r="D14" s="5" t="s">
        <v>166</v>
      </c>
      <c r="E14" s="5"/>
      <c r="F14" s="5" t="s">
        <v>167</v>
      </c>
      <c r="G14" s="5" t="s">
        <v>168</v>
      </c>
      <c r="H14" s="5" t="s">
        <v>169</v>
      </c>
      <c r="I14" s="5" t="s">
        <v>170</v>
      </c>
      <c r="J14" s="6">
        <v>2</v>
      </c>
      <c r="K14" s="6">
        <v>4</v>
      </c>
      <c r="L14" s="4">
        <f t="shared" si="0"/>
        <v>8</v>
      </c>
      <c r="M14" s="4" t="str">
        <f>INDEX(Scales!$C$12:$G$16,6-J14,K14)</f>
        <v>Low</v>
      </c>
      <c r="N14" s="6">
        <v>2</v>
      </c>
      <c r="O14" s="6">
        <v>4</v>
      </c>
      <c r="P14" s="4">
        <f t="shared" si="1"/>
        <v>8</v>
      </c>
      <c r="Q14" s="4" t="str">
        <f>INDEX(Scales!$C$12:$G$16,6-N14,O14)</f>
        <v>Low</v>
      </c>
      <c r="R14" s="4" t="s">
        <v>49</v>
      </c>
      <c r="S14" s="5" t="s">
        <v>171</v>
      </c>
      <c r="T14" s="6">
        <v>2</v>
      </c>
      <c r="U14" s="6">
        <v>3</v>
      </c>
      <c r="V14" s="4">
        <f t="shared" si="2"/>
        <v>6</v>
      </c>
      <c r="W14" s="4" t="str">
        <f>INDEX(Scales!$C$12:$G$16,6-T14,U14)</f>
        <v>Low</v>
      </c>
      <c r="X14" s="4" t="s">
        <v>51</v>
      </c>
      <c r="Y14" s="5" t="s">
        <v>52</v>
      </c>
      <c r="Z14" s="4" t="s">
        <v>84</v>
      </c>
      <c r="AA14" s="7" t="s">
        <v>54</v>
      </c>
      <c r="AB14" s="8" t="s">
        <v>49</v>
      </c>
    </row>
    <row r="15" spans="1:28" ht="51" x14ac:dyDescent="0.25">
      <c r="A15" s="4" t="s">
        <v>172</v>
      </c>
      <c r="B15" s="5" t="s">
        <v>173</v>
      </c>
      <c r="C15" s="5" t="s">
        <v>174</v>
      </c>
      <c r="D15" s="5" t="s">
        <v>175</v>
      </c>
      <c r="E15" s="5" t="s">
        <v>176</v>
      </c>
      <c r="F15" s="5" t="s">
        <v>177</v>
      </c>
      <c r="G15" s="5" t="s">
        <v>178</v>
      </c>
      <c r="H15" s="5" t="s">
        <v>179</v>
      </c>
      <c r="I15" s="5" t="s">
        <v>180</v>
      </c>
      <c r="J15" s="6">
        <v>3</v>
      </c>
      <c r="K15" s="6">
        <v>3</v>
      </c>
      <c r="L15" s="4">
        <f t="shared" si="0"/>
        <v>9</v>
      </c>
      <c r="M15" s="4" t="str">
        <f>INDEX(Scales!$C$12:$G$16,6-J15,K15)</f>
        <v>Moderate</v>
      </c>
      <c r="N15" s="6">
        <v>3</v>
      </c>
      <c r="O15" s="6">
        <v>2</v>
      </c>
      <c r="P15" s="4">
        <f t="shared" si="1"/>
        <v>6</v>
      </c>
      <c r="Q15" s="4" t="str">
        <f>INDEX(Scales!$C$12:$G$16,6-N15,O15)</f>
        <v>Low</v>
      </c>
      <c r="R15" s="4" t="s">
        <v>82</v>
      </c>
      <c r="S15" s="5" t="s">
        <v>181</v>
      </c>
      <c r="T15" s="6">
        <v>3</v>
      </c>
      <c r="U15" s="6">
        <v>2</v>
      </c>
      <c r="V15" s="4">
        <f t="shared" si="2"/>
        <v>6</v>
      </c>
      <c r="W15" s="4" t="str">
        <f>INDEX(Scales!$C$12:$G$16,6-T15,U15)</f>
        <v>Low</v>
      </c>
      <c r="X15" s="4" t="s">
        <v>51</v>
      </c>
      <c r="Y15" s="5" t="s">
        <v>52</v>
      </c>
      <c r="Z15" s="4" t="s">
        <v>84</v>
      </c>
      <c r="AA15" s="7" t="s">
        <v>54</v>
      </c>
      <c r="AB15" s="8" t="s">
        <v>82</v>
      </c>
    </row>
    <row r="16" spans="1:28" ht="76.5" x14ac:dyDescent="0.25">
      <c r="A16" s="4" t="s">
        <v>182</v>
      </c>
      <c r="B16" s="5" t="s">
        <v>183</v>
      </c>
      <c r="C16" s="5" t="s">
        <v>184</v>
      </c>
      <c r="D16" s="5" t="s">
        <v>185</v>
      </c>
      <c r="E16" s="5" t="s">
        <v>186</v>
      </c>
      <c r="F16" s="5" t="s">
        <v>187</v>
      </c>
      <c r="G16" s="5" t="s">
        <v>188</v>
      </c>
      <c r="H16" s="5" t="s">
        <v>189</v>
      </c>
      <c r="I16" s="5" t="s">
        <v>190</v>
      </c>
      <c r="J16" s="6">
        <v>2</v>
      </c>
      <c r="K16" s="6">
        <v>5</v>
      </c>
      <c r="L16" s="4">
        <f t="shared" si="0"/>
        <v>10</v>
      </c>
      <c r="M16" s="4" t="str">
        <f>INDEX(Scales!$C$12:$G$16,6-J16,K16)</f>
        <v>Moderate</v>
      </c>
      <c r="N16" s="6">
        <v>1</v>
      </c>
      <c r="O16" s="6">
        <v>5</v>
      </c>
      <c r="P16" s="4">
        <f t="shared" si="1"/>
        <v>5</v>
      </c>
      <c r="Q16" s="4" t="str">
        <f>INDEX(Scales!$C$12:$G$16,6-N16,O16)</f>
        <v>Low</v>
      </c>
      <c r="R16" s="4" t="s">
        <v>49</v>
      </c>
      <c r="S16" s="5" t="s">
        <v>191</v>
      </c>
      <c r="T16" s="6">
        <v>1</v>
      </c>
      <c r="U16" s="6">
        <v>5</v>
      </c>
      <c r="V16" s="4">
        <f t="shared" si="2"/>
        <v>5</v>
      </c>
      <c r="W16" s="4" t="str">
        <f>INDEX(Scales!$C$12:$G$16,6-T16,U16)</f>
        <v>Low</v>
      </c>
      <c r="X16" s="4" t="s">
        <v>51</v>
      </c>
      <c r="Y16" s="5" t="s">
        <v>52</v>
      </c>
      <c r="Z16" s="4" t="s">
        <v>84</v>
      </c>
      <c r="AA16" s="7" t="s">
        <v>54</v>
      </c>
      <c r="AB16" s="8" t="s">
        <v>192</v>
      </c>
    </row>
    <row r="17" spans="1:28" ht="38.25" x14ac:dyDescent="0.25">
      <c r="A17" s="4" t="s">
        <v>193</v>
      </c>
      <c r="B17" s="5" t="s">
        <v>194</v>
      </c>
      <c r="C17" s="5" t="s">
        <v>195</v>
      </c>
      <c r="D17" s="5" t="s">
        <v>109</v>
      </c>
      <c r="E17" s="5" t="s">
        <v>196</v>
      </c>
      <c r="F17" s="5" t="s">
        <v>111</v>
      </c>
      <c r="G17" s="5" t="s">
        <v>197</v>
      </c>
      <c r="H17" s="5" t="s">
        <v>198</v>
      </c>
      <c r="I17" s="5" t="s">
        <v>199</v>
      </c>
      <c r="J17" s="6">
        <v>3</v>
      </c>
      <c r="K17" s="6">
        <v>4</v>
      </c>
      <c r="L17" s="4">
        <f t="shared" si="0"/>
        <v>12</v>
      </c>
      <c r="M17" s="4" t="str">
        <f>INDEX(Scales!$C$12:$G$16,6-J17,K17)</f>
        <v>Moderate</v>
      </c>
      <c r="N17" s="6">
        <v>2</v>
      </c>
      <c r="O17" s="6">
        <v>2</v>
      </c>
      <c r="P17" s="4">
        <f t="shared" si="1"/>
        <v>4</v>
      </c>
      <c r="Q17" s="4" t="str">
        <f>INDEX(Scales!$C$12:$G$16,6-N17,O17)</f>
        <v>Low</v>
      </c>
      <c r="R17" s="4" t="s">
        <v>82</v>
      </c>
      <c r="S17" s="5" t="s">
        <v>200</v>
      </c>
      <c r="T17" s="6">
        <v>2</v>
      </c>
      <c r="U17" s="6">
        <v>2</v>
      </c>
      <c r="V17" s="4">
        <f t="shared" si="2"/>
        <v>4</v>
      </c>
      <c r="W17" s="4" t="str">
        <f>INDEX(Scales!$C$12:$G$16,6-T17,U17)</f>
        <v>Low</v>
      </c>
      <c r="X17" s="4" t="s">
        <v>51</v>
      </c>
      <c r="Y17" s="5" t="s">
        <v>52</v>
      </c>
      <c r="Z17" s="4" t="s">
        <v>84</v>
      </c>
      <c r="AA17" s="7" t="s">
        <v>54</v>
      </c>
      <c r="AB17" s="8" t="s">
        <v>82</v>
      </c>
    </row>
    <row r="18" spans="1:28" ht="63.75" x14ac:dyDescent="0.25">
      <c r="A18" s="4" t="s">
        <v>201</v>
      </c>
      <c r="B18" s="5" t="s">
        <v>202</v>
      </c>
      <c r="C18" s="5" t="s">
        <v>203</v>
      </c>
      <c r="D18" s="5" t="s">
        <v>204</v>
      </c>
      <c r="E18" s="5" t="s">
        <v>205</v>
      </c>
      <c r="F18" s="5" t="s">
        <v>78</v>
      </c>
      <c r="G18" s="5"/>
      <c r="H18" s="5" t="s">
        <v>206</v>
      </c>
      <c r="I18" s="5" t="s">
        <v>207</v>
      </c>
      <c r="J18" s="6">
        <v>3</v>
      </c>
      <c r="K18" s="6">
        <v>5</v>
      </c>
      <c r="L18" s="4">
        <f t="shared" si="0"/>
        <v>15</v>
      </c>
      <c r="M18" s="4" t="str">
        <f>INDEX(Scales!$C$12:$G$16,6-J18,K18)</f>
        <v>High</v>
      </c>
      <c r="N18" s="6">
        <v>1</v>
      </c>
      <c r="O18" s="6">
        <v>5</v>
      </c>
      <c r="P18" s="4">
        <f t="shared" si="1"/>
        <v>5</v>
      </c>
      <c r="Q18" s="4" t="str">
        <f>INDEX(Scales!$C$12:$G$16,6-N18,O18)</f>
        <v>Low</v>
      </c>
      <c r="R18" s="4" t="s">
        <v>49</v>
      </c>
      <c r="S18" s="5" t="s">
        <v>208</v>
      </c>
      <c r="T18" s="6">
        <v>1</v>
      </c>
      <c r="U18" s="6">
        <v>5</v>
      </c>
      <c r="V18" s="4">
        <f t="shared" si="2"/>
        <v>5</v>
      </c>
      <c r="W18" s="4" t="str">
        <f>INDEX(Scales!$C$12:$G$16,6-T18,U18)</f>
        <v>Low</v>
      </c>
      <c r="X18" s="4" t="s">
        <v>51</v>
      </c>
      <c r="Y18" s="5" t="s">
        <v>52</v>
      </c>
      <c r="Z18" s="4" t="s">
        <v>84</v>
      </c>
      <c r="AA18" s="7" t="s">
        <v>54</v>
      </c>
      <c r="AB18" s="8" t="s">
        <v>209</v>
      </c>
    </row>
    <row r="19" spans="1:28" ht="51" x14ac:dyDescent="0.25">
      <c r="A19" s="4" t="s">
        <v>210</v>
      </c>
      <c r="B19" s="5" t="s">
        <v>211</v>
      </c>
      <c r="C19" s="5" t="s">
        <v>212</v>
      </c>
      <c r="D19" s="5" t="s">
        <v>213</v>
      </c>
      <c r="E19" s="5" t="s">
        <v>214</v>
      </c>
      <c r="F19" s="5" t="s">
        <v>215</v>
      </c>
      <c r="G19" s="5"/>
      <c r="H19" s="5" t="s">
        <v>216</v>
      </c>
      <c r="I19" s="5" t="s">
        <v>217</v>
      </c>
      <c r="J19" s="6">
        <v>3</v>
      </c>
      <c r="K19" s="6">
        <v>4</v>
      </c>
      <c r="L19" s="4">
        <f t="shared" si="0"/>
        <v>12</v>
      </c>
      <c r="M19" s="4" t="str">
        <f>INDEX(Scales!$C$12:$G$16,6-J19,K19)</f>
        <v>Moderate</v>
      </c>
      <c r="N19" s="6">
        <v>1</v>
      </c>
      <c r="O19" s="6">
        <v>3</v>
      </c>
      <c r="P19" s="4">
        <f t="shared" si="1"/>
        <v>3</v>
      </c>
      <c r="Q19" s="4" t="str">
        <f>INDEX(Scales!$C$12:$G$16,6-N19,O19)</f>
        <v>Very Low</v>
      </c>
      <c r="R19" s="4" t="s">
        <v>49</v>
      </c>
      <c r="S19" s="5" t="s">
        <v>218</v>
      </c>
      <c r="T19" s="6">
        <v>1</v>
      </c>
      <c r="U19" s="6">
        <v>3</v>
      </c>
      <c r="V19" s="4">
        <f t="shared" si="2"/>
        <v>3</v>
      </c>
      <c r="W19" s="4" t="str">
        <f>INDEX(Scales!$C$12:$G$16,6-T19,U19)</f>
        <v>Very Low</v>
      </c>
      <c r="X19" s="4" t="s">
        <v>51</v>
      </c>
      <c r="Y19" s="5" t="s">
        <v>52</v>
      </c>
      <c r="Z19" s="4" t="s">
        <v>84</v>
      </c>
      <c r="AA19" s="7" t="s">
        <v>54</v>
      </c>
      <c r="AB19" s="8" t="s">
        <v>209</v>
      </c>
    </row>
    <row r="20" spans="1:28" ht="38.25" x14ac:dyDescent="0.25">
      <c r="A20" s="4" t="s">
        <v>219</v>
      </c>
      <c r="B20" s="5" t="s">
        <v>220</v>
      </c>
      <c r="C20" s="5" t="s">
        <v>221</v>
      </c>
      <c r="D20" s="5" t="s">
        <v>222</v>
      </c>
      <c r="E20" s="5"/>
      <c r="F20" s="5" t="s">
        <v>223</v>
      </c>
      <c r="G20" s="5" t="s">
        <v>224</v>
      </c>
      <c r="H20" s="5" t="s">
        <v>225</v>
      </c>
      <c r="I20" s="5" t="s">
        <v>226</v>
      </c>
      <c r="J20" s="6">
        <v>3</v>
      </c>
      <c r="K20" s="6">
        <v>4</v>
      </c>
      <c r="L20" s="4">
        <f t="shared" si="0"/>
        <v>12</v>
      </c>
      <c r="M20" s="4" t="str">
        <f>INDEX(Scales!$C$12:$G$16,6-J20,K20)</f>
        <v>Moderate</v>
      </c>
      <c r="N20" s="6">
        <v>2</v>
      </c>
      <c r="O20" s="6">
        <v>4</v>
      </c>
      <c r="P20" s="4">
        <f t="shared" si="1"/>
        <v>8</v>
      </c>
      <c r="Q20" s="4" t="str">
        <f>INDEX(Scales!$C$12:$G$16,6-N20,O20)</f>
        <v>Low</v>
      </c>
      <c r="R20" s="4" t="s">
        <v>49</v>
      </c>
      <c r="S20" s="5" t="s">
        <v>227</v>
      </c>
      <c r="T20" s="6">
        <v>1</v>
      </c>
      <c r="U20" s="6">
        <v>4</v>
      </c>
      <c r="V20" s="4">
        <f t="shared" si="2"/>
        <v>4</v>
      </c>
      <c r="W20" s="4" t="str">
        <f>INDEX(Scales!$C$12:$G$16,6-T20,U20)</f>
        <v>Low</v>
      </c>
      <c r="X20" s="4" t="s">
        <v>51</v>
      </c>
      <c r="Y20" s="5" t="s">
        <v>52</v>
      </c>
      <c r="Z20" s="4" t="s">
        <v>84</v>
      </c>
      <c r="AA20" s="7" t="s">
        <v>54</v>
      </c>
      <c r="AB20" s="8" t="s">
        <v>49</v>
      </c>
    </row>
  </sheetData>
  <autoFilter ref="A1:AB20" xr:uid="{00000000-0009-0000-0000-000001000000}"/>
  <conditionalFormatting sqref="M2:M20">
    <cfRule type="expression" dxfId="19" priority="1">
      <formula>M2="Very Low"</formula>
    </cfRule>
    <cfRule type="expression" dxfId="18" priority="2">
      <formula>M2="Low"</formula>
    </cfRule>
    <cfRule type="expression" dxfId="17" priority="3">
      <formula>M2="Moderate"</formula>
    </cfRule>
    <cfRule type="expression" dxfId="16" priority="4">
      <formula>M2="High"</formula>
    </cfRule>
    <cfRule type="expression" dxfId="15" priority="5">
      <formula>M2="Very High"</formula>
    </cfRule>
  </conditionalFormatting>
  <conditionalFormatting sqref="Q2:Q20">
    <cfRule type="expression" dxfId="14" priority="6">
      <formula>Q2="Very Low"</formula>
    </cfRule>
    <cfRule type="expression" dxfId="13" priority="7">
      <formula>Q2="Low"</formula>
    </cfRule>
    <cfRule type="expression" dxfId="12" priority="8">
      <formula>Q2="Moderate"</formula>
    </cfRule>
    <cfRule type="expression" dxfId="11" priority="9">
      <formula>Q2="High"</formula>
    </cfRule>
    <cfRule type="expression" dxfId="10" priority="10">
      <formula>Q2="Very High"</formula>
    </cfRule>
  </conditionalFormatting>
  <conditionalFormatting sqref="W2:W20">
    <cfRule type="expression" dxfId="9" priority="11">
      <formula>W2="Very Low"</formula>
    </cfRule>
    <cfRule type="expression" dxfId="8" priority="12">
      <formula>W2="Low"</formula>
    </cfRule>
    <cfRule type="expression" dxfId="7" priority="13">
      <formula>W2="Moderate"</formula>
    </cfRule>
    <cfRule type="expression" dxfId="6" priority="14">
      <formula>W2="High"</formula>
    </cfRule>
    <cfRule type="expression" dxfId="5" priority="15">
      <formula>W2="Very High"</formula>
    </cfRule>
  </conditionalFormatting>
  <dataValidations count="3">
    <dataValidation type="whole" showErrorMessage="1" error="Enter a whole number from 1 (Very Low) to 5 (Very High)" sqref="J2 J3 J4 J5 J6 J7 J8 J9 J10 J11 J12 J13 J14 J15 J16 J17 J18 J19 J20 K2 K3 K4 K5 K6 K7 K8 K9 K10 K11 K12 K13 K14 K15 K16 K17 K18 K19 K20 N2 N3 N4 N5 N6 N7 N8 N9 N10 N11 N12 N13 N14 N15 N16 N17 N18 N19 N20 O2 O3 O4 O5 O6 O7 O8 O9 O10 O11 O12 O13 O14 O15 O16 O17 O18 O19 O20 T2 T3 T4 T5 T6 T7 T8 T9 T10 T11 T12 T13 T14 T15 T16 T17 T18 T19 T20 U2 U3 U4 U5 U6 U7 U8 U9 U10 U11 U12 U13 U14 U15 U16 U17 U18 U19 U20" xr:uid="{00000000-0002-0000-0100-000000000000}">
      <formula1>1</formula1>
      <formula2>5</formula2>
    </dataValidation>
    <dataValidation type="list" sqref="R2 R3 R4 R5 R6 R7 R8 R9 R10 R11 R12 R13 R14 R15 R16 R17 R18 R19 R20" xr:uid="{00000000-0002-0000-0100-000001000000}">
      <formula1>"Mitigate,Accept,Transfer,Avoid"</formula1>
    </dataValidation>
    <dataValidation type="list" sqref="AA2 AA3 AA4 AA5 AA6 AA7 AA8 AA9 AA10 AA11 AA12 AA13 AA14 AA15 AA16 AA17 AA18 AA19 AA20" xr:uid="{00000000-0002-0000-0100-000002000000}">
      <formula1>"Agree,Change"</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8"/>
  <sheetViews>
    <sheetView workbookViewId="0"/>
  </sheetViews>
  <sheetFormatPr defaultRowHeight="15" x14ac:dyDescent="0.25"/>
  <cols>
    <col min="1" max="1" width="8" customWidth="1"/>
    <col min="2" max="2" width="22" customWidth="1"/>
    <col min="3" max="3" width="45" customWidth="1"/>
    <col min="4" max="7" width="14" customWidth="1"/>
  </cols>
  <sheetData>
    <row r="1" spans="1:7" x14ac:dyDescent="0.25">
      <c r="A1" s="1" t="s">
        <v>228</v>
      </c>
    </row>
    <row r="2" spans="1:7" x14ac:dyDescent="0.25">
      <c r="A2" s="3" t="s">
        <v>229</v>
      </c>
      <c r="B2" s="3" t="s">
        <v>230</v>
      </c>
      <c r="C2" s="3" t="s">
        <v>231</v>
      </c>
    </row>
    <row r="3" spans="1:7" x14ac:dyDescent="0.25">
      <c r="A3" s="5">
        <v>5</v>
      </c>
      <c r="B3" s="5" t="s">
        <v>232</v>
      </c>
      <c r="C3" s="5" t="s">
        <v>233</v>
      </c>
    </row>
    <row r="4" spans="1:7" x14ac:dyDescent="0.25">
      <c r="A4" s="5">
        <v>4</v>
      </c>
      <c r="B4" s="5" t="s">
        <v>234</v>
      </c>
      <c r="C4" s="5" t="s">
        <v>235</v>
      </c>
    </row>
    <row r="5" spans="1:7" x14ac:dyDescent="0.25">
      <c r="A5" s="5">
        <v>3</v>
      </c>
      <c r="B5" s="5" t="s">
        <v>236</v>
      </c>
      <c r="C5" s="5" t="s">
        <v>237</v>
      </c>
    </row>
    <row r="6" spans="1:7" x14ac:dyDescent="0.25">
      <c r="A6" s="5">
        <v>2</v>
      </c>
      <c r="B6" s="5" t="s">
        <v>238</v>
      </c>
      <c r="C6" s="5" t="s">
        <v>239</v>
      </c>
    </row>
    <row r="7" spans="1:7" x14ac:dyDescent="0.25">
      <c r="A7" s="5">
        <v>1</v>
      </c>
      <c r="B7" s="5" t="s">
        <v>240</v>
      </c>
      <c r="C7" s="5" t="s">
        <v>241</v>
      </c>
    </row>
    <row r="10" spans="1:7" x14ac:dyDescent="0.25">
      <c r="A10" s="1" t="s">
        <v>242</v>
      </c>
    </row>
    <row r="11" spans="1:7" x14ac:dyDescent="0.25">
      <c r="A11" s="3"/>
      <c r="B11" s="3" t="s">
        <v>243</v>
      </c>
      <c r="C11" s="3" t="s">
        <v>244</v>
      </c>
      <c r="D11" s="3" t="s">
        <v>245</v>
      </c>
      <c r="E11" s="3" t="s">
        <v>246</v>
      </c>
      <c r="F11" s="3" t="s">
        <v>247</v>
      </c>
      <c r="G11" s="3" t="s">
        <v>248</v>
      </c>
    </row>
    <row r="12" spans="1:7" x14ac:dyDescent="0.25">
      <c r="A12" s="1">
        <v>5</v>
      </c>
      <c r="B12" s="1" t="s">
        <v>248</v>
      </c>
      <c r="C12" s="4" t="s">
        <v>240</v>
      </c>
      <c r="D12" s="4" t="s">
        <v>238</v>
      </c>
      <c r="E12" s="4" t="s">
        <v>236</v>
      </c>
      <c r="F12" s="4" t="s">
        <v>234</v>
      </c>
      <c r="G12" s="4" t="s">
        <v>232</v>
      </c>
    </row>
    <row r="13" spans="1:7" x14ac:dyDescent="0.25">
      <c r="A13" s="1">
        <v>4</v>
      </c>
      <c r="B13" s="1" t="s">
        <v>247</v>
      </c>
      <c r="C13" s="4" t="s">
        <v>240</v>
      </c>
      <c r="D13" s="4" t="s">
        <v>238</v>
      </c>
      <c r="E13" s="4" t="s">
        <v>236</v>
      </c>
      <c r="F13" s="4" t="s">
        <v>234</v>
      </c>
      <c r="G13" s="4" t="s">
        <v>232</v>
      </c>
    </row>
    <row r="14" spans="1:7" x14ac:dyDescent="0.25">
      <c r="A14" s="1">
        <v>3</v>
      </c>
      <c r="B14" s="1" t="s">
        <v>246</v>
      </c>
      <c r="C14" s="4" t="s">
        <v>240</v>
      </c>
      <c r="D14" s="4" t="s">
        <v>238</v>
      </c>
      <c r="E14" s="4" t="s">
        <v>236</v>
      </c>
      <c r="F14" s="4" t="s">
        <v>236</v>
      </c>
      <c r="G14" s="4" t="s">
        <v>234</v>
      </c>
    </row>
    <row r="15" spans="1:7" x14ac:dyDescent="0.25">
      <c r="A15" s="1">
        <v>2</v>
      </c>
      <c r="B15" s="1" t="s">
        <v>245</v>
      </c>
      <c r="C15" s="4" t="s">
        <v>240</v>
      </c>
      <c r="D15" s="4" t="s">
        <v>238</v>
      </c>
      <c r="E15" s="4" t="s">
        <v>238</v>
      </c>
      <c r="F15" s="4" t="s">
        <v>238</v>
      </c>
      <c r="G15" s="4" t="s">
        <v>236</v>
      </c>
    </row>
    <row r="16" spans="1:7" x14ac:dyDescent="0.25">
      <c r="A16" s="1">
        <v>1</v>
      </c>
      <c r="B16" s="1" t="s">
        <v>244</v>
      </c>
      <c r="C16" s="4" t="s">
        <v>240</v>
      </c>
      <c r="D16" s="4" t="s">
        <v>240</v>
      </c>
      <c r="E16" s="4" t="s">
        <v>240</v>
      </c>
      <c r="F16" s="4" t="s">
        <v>238</v>
      </c>
      <c r="G16" s="4" t="s">
        <v>238</v>
      </c>
    </row>
    <row r="18" spans="1:1" x14ac:dyDescent="0.25">
      <c r="A18" s="2" t="s">
        <v>249</v>
      </c>
    </row>
  </sheetData>
  <conditionalFormatting sqref="C12:G16">
    <cfRule type="expression" dxfId="4" priority="1">
      <formula>C12="Very Low"</formula>
    </cfRule>
    <cfRule type="expression" dxfId="3" priority="2">
      <formula>C12="Low"</formula>
    </cfRule>
    <cfRule type="expression" dxfId="2" priority="3">
      <formula>C12="Moderate"</formula>
    </cfRule>
    <cfRule type="expression" dxfId="1" priority="4">
      <formula>C12="High"</formula>
    </cfRule>
    <cfRule type="expression" dxfId="0" priority="5">
      <formula>C12="Very High"</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5"/>
  <sheetViews>
    <sheetView workbookViewId="0">
      <pane xSplit="1" ySplit="1" topLeftCell="B2" activePane="bottomRight" state="frozen"/>
      <selection pane="topRight"/>
      <selection pane="bottomLeft"/>
      <selection pane="bottomRight"/>
    </sheetView>
  </sheetViews>
  <sheetFormatPr defaultRowHeight="15" x14ac:dyDescent="0.25"/>
  <cols>
    <col min="1" max="1" width="7" customWidth="1"/>
    <col min="2" max="2" width="30" customWidth="1"/>
    <col min="3" max="3" width="40" customWidth="1"/>
    <col min="4" max="6" width="8" customWidth="1"/>
    <col min="7" max="7" width="50" customWidth="1"/>
  </cols>
  <sheetData>
    <row r="1" spans="1:7" x14ac:dyDescent="0.25">
      <c r="A1" s="3" t="s">
        <v>250</v>
      </c>
      <c r="B1" s="3" t="s">
        <v>251</v>
      </c>
      <c r="C1" s="3" t="s">
        <v>252</v>
      </c>
      <c r="D1" s="3" t="s">
        <v>253</v>
      </c>
      <c r="E1" s="3" t="s">
        <v>254</v>
      </c>
      <c r="F1" s="3" t="s">
        <v>255</v>
      </c>
      <c r="G1" s="3" t="s">
        <v>256</v>
      </c>
    </row>
    <row r="2" spans="1:7" ht="25.5" x14ac:dyDescent="0.25">
      <c r="A2" s="5" t="s">
        <v>257</v>
      </c>
      <c r="B2" s="5" t="s">
        <v>258</v>
      </c>
      <c r="C2" s="5" t="s">
        <v>259</v>
      </c>
      <c r="D2" s="5" t="s">
        <v>234</v>
      </c>
      <c r="E2" s="5" t="s">
        <v>234</v>
      </c>
      <c r="F2" s="5" t="s">
        <v>236</v>
      </c>
      <c r="G2" s="5" t="s">
        <v>260</v>
      </c>
    </row>
    <row r="3" spans="1:7" ht="38.25" x14ac:dyDescent="0.25">
      <c r="A3" s="5" t="s">
        <v>261</v>
      </c>
      <c r="B3" s="5" t="s">
        <v>262</v>
      </c>
      <c r="C3" s="5" t="s">
        <v>263</v>
      </c>
      <c r="D3" s="5" t="s">
        <v>234</v>
      </c>
      <c r="E3" s="5" t="s">
        <v>234</v>
      </c>
      <c r="F3" s="5" t="s">
        <v>234</v>
      </c>
      <c r="G3" s="5" t="s">
        <v>264</v>
      </c>
    </row>
    <row r="4" spans="1:7" ht="25.5" x14ac:dyDescent="0.25">
      <c r="A4" s="5" t="s">
        <v>133</v>
      </c>
      <c r="B4" s="5" t="s">
        <v>265</v>
      </c>
      <c r="C4" s="5" t="s">
        <v>266</v>
      </c>
      <c r="D4" s="5" t="s">
        <v>236</v>
      </c>
      <c r="E4" s="5" t="s">
        <v>238</v>
      </c>
      <c r="F4" s="5" t="s">
        <v>238</v>
      </c>
      <c r="G4" s="5" t="s">
        <v>267</v>
      </c>
    </row>
    <row r="5" spans="1:7" ht="25.5" x14ac:dyDescent="0.25">
      <c r="A5" s="5" t="s">
        <v>268</v>
      </c>
      <c r="B5" s="5" t="s">
        <v>269</v>
      </c>
      <c r="C5" s="5" t="s">
        <v>270</v>
      </c>
      <c r="D5" s="5" t="s">
        <v>236</v>
      </c>
      <c r="E5" s="5" t="s">
        <v>234</v>
      </c>
      <c r="F5" s="5" t="s">
        <v>236</v>
      </c>
      <c r="G5" s="5" t="s">
        <v>271</v>
      </c>
    </row>
    <row r="6" spans="1:7" ht="25.5" x14ac:dyDescent="0.25">
      <c r="A6" s="5" t="s">
        <v>272</v>
      </c>
      <c r="B6" s="5" t="s">
        <v>273</v>
      </c>
      <c r="C6" s="5" t="s">
        <v>274</v>
      </c>
      <c r="D6" s="5" t="s">
        <v>238</v>
      </c>
      <c r="E6" s="5" t="s">
        <v>275</v>
      </c>
      <c r="F6" s="5" t="s">
        <v>236</v>
      </c>
      <c r="G6" s="5" t="s">
        <v>276</v>
      </c>
    </row>
    <row r="7" spans="1:7" ht="25.5" x14ac:dyDescent="0.25">
      <c r="A7" s="5" t="s">
        <v>277</v>
      </c>
      <c r="B7" s="5" t="s">
        <v>278</v>
      </c>
      <c r="C7" s="5" t="s">
        <v>279</v>
      </c>
      <c r="D7" s="5" t="s">
        <v>236</v>
      </c>
      <c r="E7" s="5" t="s">
        <v>275</v>
      </c>
      <c r="F7" s="5" t="s">
        <v>238</v>
      </c>
      <c r="G7" s="5" t="s">
        <v>280</v>
      </c>
    </row>
    <row r="8" spans="1:7" ht="25.5" x14ac:dyDescent="0.25">
      <c r="A8" s="5" t="s">
        <v>281</v>
      </c>
      <c r="B8" s="5" t="s">
        <v>282</v>
      </c>
      <c r="C8" s="5" t="s">
        <v>283</v>
      </c>
      <c r="D8" s="5" t="s">
        <v>284</v>
      </c>
      <c r="E8" s="5" t="s">
        <v>275</v>
      </c>
      <c r="F8" s="5" t="s">
        <v>238</v>
      </c>
      <c r="G8" s="5" t="s">
        <v>285</v>
      </c>
    </row>
    <row r="9" spans="1:7" ht="25.5" x14ac:dyDescent="0.25">
      <c r="A9" s="5" t="s">
        <v>286</v>
      </c>
      <c r="B9" s="5" t="s">
        <v>287</v>
      </c>
      <c r="C9" s="5" t="s">
        <v>288</v>
      </c>
      <c r="D9" s="5" t="s">
        <v>284</v>
      </c>
      <c r="E9" s="5" t="s">
        <v>275</v>
      </c>
      <c r="F9" s="5" t="s">
        <v>234</v>
      </c>
      <c r="G9" s="5" t="s">
        <v>289</v>
      </c>
    </row>
    <row r="10" spans="1:7" ht="38.25" x14ac:dyDescent="0.25">
      <c r="A10" s="5" t="s">
        <v>290</v>
      </c>
      <c r="B10" s="5" t="s">
        <v>291</v>
      </c>
      <c r="C10" s="5" t="s">
        <v>292</v>
      </c>
      <c r="D10" s="5" t="s">
        <v>275</v>
      </c>
      <c r="E10" s="5" t="s">
        <v>275</v>
      </c>
      <c r="F10" s="5" t="s">
        <v>234</v>
      </c>
      <c r="G10" s="5" t="s">
        <v>293</v>
      </c>
    </row>
    <row r="11" spans="1:7" ht="25.5" x14ac:dyDescent="0.25">
      <c r="A11" s="5" t="s">
        <v>187</v>
      </c>
      <c r="B11" s="5" t="s">
        <v>294</v>
      </c>
      <c r="C11" s="5" t="s">
        <v>295</v>
      </c>
      <c r="D11" s="5" t="s">
        <v>284</v>
      </c>
      <c r="E11" s="5" t="s">
        <v>275</v>
      </c>
      <c r="F11" s="5" t="s">
        <v>234</v>
      </c>
      <c r="G11" s="5" t="s">
        <v>296</v>
      </c>
    </row>
    <row r="12" spans="1:7" ht="25.5" x14ac:dyDescent="0.25">
      <c r="A12" s="5" t="s">
        <v>297</v>
      </c>
      <c r="B12" s="5" t="s">
        <v>298</v>
      </c>
      <c r="C12" s="5" t="s">
        <v>299</v>
      </c>
      <c r="D12" s="5" t="s">
        <v>284</v>
      </c>
      <c r="E12" s="5" t="s">
        <v>234</v>
      </c>
      <c r="F12" s="5" t="s">
        <v>236</v>
      </c>
      <c r="G12" s="5" t="s">
        <v>300</v>
      </c>
    </row>
    <row r="13" spans="1:7" ht="25.5" x14ac:dyDescent="0.25">
      <c r="A13" s="5" t="s">
        <v>301</v>
      </c>
      <c r="B13" s="5" t="s">
        <v>302</v>
      </c>
      <c r="C13" s="5" t="s">
        <v>303</v>
      </c>
      <c r="D13" s="5" t="s">
        <v>238</v>
      </c>
      <c r="E13" s="5" t="s">
        <v>234</v>
      </c>
      <c r="F13" s="5" t="s">
        <v>236</v>
      </c>
      <c r="G13" s="5" t="s">
        <v>304</v>
      </c>
    </row>
    <row r="14" spans="1:7" ht="25.5" x14ac:dyDescent="0.25">
      <c r="A14" s="5" t="s">
        <v>167</v>
      </c>
      <c r="B14" s="5" t="s">
        <v>305</v>
      </c>
      <c r="C14" s="5" t="s">
        <v>306</v>
      </c>
      <c r="D14" s="5" t="s">
        <v>284</v>
      </c>
      <c r="E14" s="5" t="s">
        <v>284</v>
      </c>
      <c r="F14" s="5" t="s">
        <v>234</v>
      </c>
      <c r="G14" s="5" t="s">
        <v>307</v>
      </c>
    </row>
    <row r="15" spans="1:7" ht="25.5" x14ac:dyDescent="0.25">
      <c r="A15" s="5" t="s">
        <v>150</v>
      </c>
      <c r="B15" s="5" t="s">
        <v>308</v>
      </c>
      <c r="C15" s="5" t="s">
        <v>309</v>
      </c>
      <c r="D15" s="5" t="s">
        <v>284</v>
      </c>
      <c r="E15" s="5" t="s">
        <v>284</v>
      </c>
      <c r="F15" s="5" t="s">
        <v>284</v>
      </c>
      <c r="G15" s="5" t="s">
        <v>310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1"/>
  <sheetViews>
    <sheetView workbookViewId="0">
      <pane xSplit="1" ySplit="1" topLeftCell="B2" activePane="bottomRight" state="frozen"/>
      <selection pane="topRight"/>
      <selection pane="bottomLeft"/>
      <selection pane="bottomRight"/>
    </sheetView>
  </sheetViews>
  <sheetFormatPr defaultRowHeight="15" x14ac:dyDescent="0.25"/>
  <cols>
    <col min="1" max="1" width="7" customWidth="1"/>
    <col min="2" max="2" width="40" customWidth="1"/>
    <col min="3" max="3" width="30" customWidth="1"/>
    <col min="4" max="4" width="12" customWidth="1"/>
    <col min="5" max="5" width="30" customWidth="1"/>
    <col min="6" max="6" width="25" customWidth="1"/>
    <col min="7" max="7" width="45" customWidth="1"/>
  </cols>
  <sheetData>
    <row r="1" spans="1:7" x14ac:dyDescent="0.25">
      <c r="A1" s="3" t="s">
        <v>250</v>
      </c>
      <c r="B1" s="3" t="s">
        <v>311</v>
      </c>
      <c r="C1" s="3" t="s">
        <v>312</v>
      </c>
      <c r="D1" s="3" t="s">
        <v>313</v>
      </c>
      <c r="E1" s="3" t="s">
        <v>314</v>
      </c>
      <c r="F1" s="3" t="s">
        <v>315</v>
      </c>
      <c r="G1" s="3" t="s">
        <v>316</v>
      </c>
    </row>
    <row r="2" spans="1:7" ht="25.5" x14ac:dyDescent="0.25">
      <c r="A2" s="5" t="s">
        <v>204</v>
      </c>
      <c r="B2" s="5" t="s">
        <v>317</v>
      </c>
      <c r="C2" s="5" t="s">
        <v>318</v>
      </c>
      <c r="D2" s="5" t="s">
        <v>236</v>
      </c>
      <c r="E2" s="5" t="s">
        <v>319</v>
      </c>
      <c r="F2" s="5" t="s">
        <v>320</v>
      </c>
      <c r="G2" s="5" t="s">
        <v>321</v>
      </c>
    </row>
    <row r="3" spans="1:7" ht="25.5" x14ac:dyDescent="0.25">
      <c r="A3" s="5" t="s">
        <v>322</v>
      </c>
      <c r="B3" s="5" t="s">
        <v>323</v>
      </c>
      <c r="C3" s="5" t="s">
        <v>324</v>
      </c>
      <c r="D3" s="5" t="s">
        <v>236</v>
      </c>
      <c r="E3" s="5" t="s">
        <v>325</v>
      </c>
      <c r="F3" s="5" t="s">
        <v>236</v>
      </c>
      <c r="G3" s="5" t="s">
        <v>326</v>
      </c>
    </row>
    <row r="4" spans="1:7" ht="25.5" x14ac:dyDescent="0.25">
      <c r="A4" s="5" t="s">
        <v>89</v>
      </c>
      <c r="B4" s="5" t="s">
        <v>327</v>
      </c>
      <c r="C4" s="5" t="s">
        <v>328</v>
      </c>
      <c r="D4" s="5" t="s">
        <v>234</v>
      </c>
      <c r="E4" s="5" t="s">
        <v>329</v>
      </c>
      <c r="F4" s="5" t="s">
        <v>330</v>
      </c>
      <c r="G4" s="5" t="s">
        <v>331</v>
      </c>
    </row>
    <row r="5" spans="1:7" ht="25.5" x14ac:dyDescent="0.25">
      <c r="A5" s="5" t="s">
        <v>332</v>
      </c>
      <c r="B5" s="5" t="s">
        <v>333</v>
      </c>
      <c r="C5" s="5" t="s">
        <v>334</v>
      </c>
      <c r="D5" s="5" t="s">
        <v>238</v>
      </c>
      <c r="E5" s="5" t="s">
        <v>335</v>
      </c>
      <c r="F5" s="5" t="s">
        <v>336</v>
      </c>
      <c r="G5" s="5" t="s">
        <v>337</v>
      </c>
    </row>
    <row r="6" spans="1:7" ht="25.5" x14ac:dyDescent="0.25">
      <c r="A6" s="5" t="s">
        <v>76</v>
      </c>
      <c r="B6" s="5" t="s">
        <v>338</v>
      </c>
      <c r="C6" s="5" t="s">
        <v>339</v>
      </c>
      <c r="D6" s="5" t="s">
        <v>275</v>
      </c>
      <c r="E6" s="5" t="s">
        <v>340</v>
      </c>
      <c r="F6" s="5" t="s">
        <v>284</v>
      </c>
      <c r="G6" s="5" t="s">
        <v>341</v>
      </c>
    </row>
    <row r="7" spans="1:7" ht="25.5" x14ac:dyDescent="0.25">
      <c r="A7" s="5" t="s">
        <v>342</v>
      </c>
      <c r="B7" s="5" t="s">
        <v>343</v>
      </c>
      <c r="C7" s="5" t="s">
        <v>344</v>
      </c>
      <c r="D7" s="5" t="s">
        <v>284</v>
      </c>
      <c r="E7" s="5" t="s">
        <v>284</v>
      </c>
      <c r="F7" s="5" t="s">
        <v>284</v>
      </c>
      <c r="G7" s="5" t="s">
        <v>345</v>
      </c>
    </row>
    <row r="8" spans="1:7" x14ac:dyDescent="0.25">
      <c r="A8" s="5" t="s">
        <v>346</v>
      </c>
      <c r="B8" s="5" t="s">
        <v>347</v>
      </c>
      <c r="C8" s="5" t="s">
        <v>348</v>
      </c>
      <c r="D8" s="5" t="s">
        <v>284</v>
      </c>
      <c r="E8" s="5" t="s">
        <v>284</v>
      </c>
      <c r="F8" s="5" t="s">
        <v>284</v>
      </c>
      <c r="G8" s="5" t="s">
        <v>349</v>
      </c>
    </row>
    <row r="9" spans="1:7" ht="25.5" x14ac:dyDescent="0.25">
      <c r="A9" s="5" t="s">
        <v>350</v>
      </c>
      <c r="B9" s="5" t="s">
        <v>351</v>
      </c>
      <c r="C9" s="5" t="s">
        <v>352</v>
      </c>
      <c r="D9" s="5" t="s">
        <v>284</v>
      </c>
      <c r="E9" s="5" t="s">
        <v>284</v>
      </c>
      <c r="F9" s="5" t="s">
        <v>284</v>
      </c>
      <c r="G9" s="5" t="s">
        <v>353</v>
      </c>
    </row>
    <row r="10" spans="1:7" ht="25.5" x14ac:dyDescent="0.25">
      <c r="A10" s="5" t="s">
        <v>166</v>
      </c>
      <c r="B10" s="5" t="s">
        <v>354</v>
      </c>
      <c r="C10" s="5" t="s">
        <v>355</v>
      </c>
      <c r="D10" s="5" t="s">
        <v>284</v>
      </c>
      <c r="E10" s="5" t="s">
        <v>284</v>
      </c>
      <c r="F10" s="5" t="s">
        <v>284</v>
      </c>
      <c r="G10" s="5" t="s">
        <v>356</v>
      </c>
    </row>
    <row r="11" spans="1:7" ht="25.5" x14ac:dyDescent="0.25">
      <c r="A11" s="5" t="s">
        <v>141</v>
      </c>
      <c r="B11" s="5" t="s">
        <v>357</v>
      </c>
      <c r="C11" s="5" t="s">
        <v>358</v>
      </c>
      <c r="D11" s="5" t="s">
        <v>284</v>
      </c>
      <c r="E11" s="5" t="s">
        <v>284</v>
      </c>
      <c r="F11" s="5" t="s">
        <v>284</v>
      </c>
      <c r="G11" s="5" t="s">
        <v>359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6"/>
  <sheetViews>
    <sheetView workbookViewId="0">
      <pane xSplit="1" ySplit="1" topLeftCell="B2" activePane="bottomRight" state="frozen"/>
      <selection pane="topRight"/>
      <selection pane="bottomLeft"/>
      <selection pane="bottomRight"/>
    </sheetView>
  </sheetViews>
  <sheetFormatPr defaultRowHeight="15" x14ac:dyDescent="0.25"/>
  <cols>
    <col min="1" max="1" width="7" customWidth="1"/>
    <col min="2" max="2" width="70" customWidth="1"/>
    <col min="3" max="3" width="16" customWidth="1"/>
    <col min="4" max="4" width="40" customWidth="1"/>
    <col min="5" max="5" width="16" customWidth="1"/>
  </cols>
  <sheetData>
    <row r="1" spans="1:5" x14ac:dyDescent="0.25">
      <c r="A1" s="3" t="s">
        <v>250</v>
      </c>
      <c r="B1" s="3" t="s">
        <v>360</v>
      </c>
      <c r="C1" s="3" t="s">
        <v>17</v>
      </c>
      <c r="D1" s="3" t="s">
        <v>361</v>
      </c>
      <c r="E1" s="3" t="s">
        <v>36</v>
      </c>
    </row>
    <row r="2" spans="1:5" x14ac:dyDescent="0.25">
      <c r="A2" s="5" t="s">
        <v>362</v>
      </c>
      <c r="B2" s="5" t="s">
        <v>363</v>
      </c>
      <c r="C2" s="5" t="s">
        <v>364</v>
      </c>
      <c r="D2" s="5" t="s">
        <v>365</v>
      </c>
      <c r="E2" s="5" t="s">
        <v>366</v>
      </c>
    </row>
    <row r="3" spans="1:5" ht="25.5" x14ac:dyDescent="0.25">
      <c r="A3" s="5" t="s">
        <v>367</v>
      </c>
      <c r="B3" s="5" t="s">
        <v>368</v>
      </c>
      <c r="C3" s="5" t="s">
        <v>369</v>
      </c>
      <c r="D3" s="5" t="s">
        <v>370</v>
      </c>
      <c r="E3" s="5" t="s">
        <v>366</v>
      </c>
    </row>
    <row r="4" spans="1:5" x14ac:dyDescent="0.25">
      <c r="A4" s="5" t="s">
        <v>371</v>
      </c>
      <c r="B4" s="5" t="s">
        <v>372</v>
      </c>
      <c r="C4" s="5" t="s">
        <v>277</v>
      </c>
      <c r="D4" s="5" t="s">
        <v>365</v>
      </c>
      <c r="E4" s="5" t="s">
        <v>366</v>
      </c>
    </row>
    <row r="5" spans="1:5" ht="25.5" x14ac:dyDescent="0.25">
      <c r="A5" s="5" t="s">
        <v>373</v>
      </c>
      <c r="B5" s="5" t="s">
        <v>374</v>
      </c>
      <c r="C5" s="5" t="s">
        <v>375</v>
      </c>
      <c r="D5" s="5" t="s">
        <v>376</v>
      </c>
      <c r="E5" s="5" t="s">
        <v>366</v>
      </c>
    </row>
    <row r="6" spans="1:5" ht="25.5" x14ac:dyDescent="0.25">
      <c r="A6" s="5" t="s">
        <v>377</v>
      </c>
      <c r="B6" s="5" t="s">
        <v>378</v>
      </c>
      <c r="C6" s="5" t="s">
        <v>379</v>
      </c>
      <c r="D6" s="5" t="s">
        <v>380</v>
      </c>
      <c r="E6" s="5" t="s">
        <v>366</v>
      </c>
    </row>
    <row r="7" spans="1:5" ht="25.5" x14ac:dyDescent="0.25">
      <c r="A7" s="5" t="s">
        <v>102</v>
      </c>
      <c r="B7" s="5" t="s">
        <v>381</v>
      </c>
      <c r="C7" s="5" t="s">
        <v>301</v>
      </c>
      <c r="D7" s="5" t="s">
        <v>382</v>
      </c>
      <c r="E7" s="5" t="s">
        <v>383</v>
      </c>
    </row>
    <row r="8" spans="1:5" ht="25.5" x14ac:dyDescent="0.25">
      <c r="A8" s="5" t="s">
        <v>159</v>
      </c>
      <c r="B8" s="5" t="s">
        <v>384</v>
      </c>
      <c r="C8" s="5" t="s">
        <v>261</v>
      </c>
      <c r="D8" s="5" t="s">
        <v>385</v>
      </c>
      <c r="E8" s="5" t="s">
        <v>366</v>
      </c>
    </row>
    <row r="9" spans="1:5" x14ac:dyDescent="0.25">
      <c r="A9" s="5" t="s">
        <v>386</v>
      </c>
      <c r="B9" s="5" t="s">
        <v>387</v>
      </c>
      <c r="C9" s="5" t="s">
        <v>388</v>
      </c>
      <c r="D9" s="5" t="s">
        <v>365</v>
      </c>
      <c r="E9" s="5" t="s">
        <v>366</v>
      </c>
    </row>
    <row r="10" spans="1:5" ht="25.5" x14ac:dyDescent="0.25">
      <c r="A10" s="5" t="s">
        <v>389</v>
      </c>
      <c r="B10" s="5" t="s">
        <v>390</v>
      </c>
      <c r="C10" s="5" t="s">
        <v>133</v>
      </c>
      <c r="D10" s="5" t="s">
        <v>391</v>
      </c>
      <c r="E10" s="5" t="s">
        <v>392</v>
      </c>
    </row>
    <row r="11" spans="1:5" ht="25.5" x14ac:dyDescent="0.25">
      <c r="A11" s="5" t="s">
        <v>393</v>
      </c>
      <c r="B11" s="5" t="s">
        <v>394</v>
      </c>
      <c r="C11" s="5" t="s">
        <v>395</v>
      </c>
      <c r="D11" s="5" t="s">
        <v>396</v>
      </c>
      <c r="E11" s="5" t="s">
        <v>366</v>
      </c>
    </row>
    <row r="12" spans="1:5" x14ac:dyDescent="0.25">
      <c r="A12" s="5" t="s">
        <v>397</v>
      </c>
      <c r="B12" s="5" t="s">
        <v>398</v>
      </c>
      <c r="C12" s="5" t="s">
        <v>150</v>
      </c>
      <c r="D12" s="5" t="s">
        <v>399</v>
      </c>
      <c r="E12" s="5" t="s">
        <v>400</v>
      </c>
    </row>
    <row r="13" spans="1:5" ht="25.5" x14ac:dyDescent="0.25">
      <c r="A13" s="5" t="s">
        <v>401</v>
      </c>
      <c r="B13" s="5" t="s">
        <v>402</v>
      </c>
      <c r="C13" s="5" t="s">
        <v>268</v>
      </c>
      <c r="D13" s="5" t="s">
        <v>403</v>
      </c>
      <c r="E13" s="5" t="s">
        <v>366</v>
      </c>
    </row>
    <row r="14" spans="1:5" ht="25.5" x14ac:dyDescent="0.25">
      <c r="A14" s="5" t="s">
        <v>197</v>
      </c>
      <c r="B14" s="5" t="s">
        <v>404</v>
      </c>
      <c r="C14" s="5" t="s">
        <v>405</v>
      </c>
      <c r="D14" s="5" t="s">
        <v>406</v>
      </c>
      <c r="E14" s="5" t="s">
        <v>392</v>
      </c>
    </row>
    <row r="15" spans="1:5" ht="25.5" x14ac:dyDescent="0.25">
      <c r="A15" s="5" t="s">
        <v>188</v>
      </c>
      <c r="B15" s="5" t="s">
        <v>407</v>
      </c>
      <c r="C15" s="5" t="s">
        <v>187</v>
      </c>
      <c r="D15" s="5" t="s">
        <v>408</v>
      </c>
      <c r="E15" s="5" t="s">
        <v>383</v>
      </c>
    </row>
    <row r="16" spans="1:5" x14ac:dyDescent="0.25">
      <c r="A16" s="5" t="s">
        <v>123</v>
      </c>
      <c r="B16" s="5" t="s">
        <v>409</v>
      </c>
      <c r="C16" s="5" t="s">
        <v>257</v>
      </c>
      <c r="D16" s="5" t="s">
        <v>410</v>
      </c>
      <c r="E16" s="5" t="s">
        <v>366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8"/>
  <sheetViews>
    <sheetView workbookViewId="0">
      <pane xSplit="1" ySplit="1" topLeftCell="B2" activePane="bottomRight" state="frozen"/>
      <selection pane="topRight"/>
      <selection pane="bottomLeft"/>
      <selection pane="bottomRight"/>
    </sheetView>
  </sheetViews>
  <sheetFormatPr defaultRowHeight="15" x14ac:dyDescent="0.25"/>
  <cols>
    <col min="1" max="1" width="7" customWidth="1"/>
    <col min="2" max="2" width="50" customWidth="1"/>
    <col min="3" max="3" width="70" customWidth="1"/>
  </cols>
  <sheetData>
    <row r="1" spans="1:3" x14ac:dyDescent="0.25">
      <c r="A1" s="3" t="s">
        <v>250</v>
      </c>
      <c r="B1" s="3" t="s">
        <v>411</v>
      </c>
      <c r="C1" s="3" t="s">
        <v>412</v>
      </c>
    </row>
    <row r="2" spans="1:3" x14ac:dyDescent="0.25">
      <c r="A2" s="5" t="s">
        <v>168</v>
      </c>
      <c r="B2" s="5" t="s">
        <v>413</v>
      </c>
      <c r="C2" s="5" t="s">
        <v>414</v>
      </c>
    </row>
    <row r="3" spans="1:3" ht="25.5" x14ac:dyDescent="0.25">
      <c r="A3" s="5" t="s">
        <v>415</v>
      </c>
      <c r="B3" s="5" t="s">
        <v>416</v>
      </c>
      <c r="C3" s="5" t="s">
        <v>417</v>
      </c>
    </row>
    <row r="4" spans="1:3" ht="25.5" x14ac:dyDescent="0.25">
      <c r="A4" s="5" t="s">
        <v>418</v>
      </c>
      <c r="B4" s="5" t="s">
        <v>419</v>
      </c>
      <c r="C4" s="5" t="s">
        <v>420</v>
      </c>
    </row>
    <row r="5" spans="1:3" ht="25.5" x14ac:dyDescent="0.25">
      <c r="A5" s="5" t="s">
        <v>421</v>
      </c>
      <c r="B5" s="5" t="s">
        <v>422</v>
      </c>
      <c r="C5" s="5" t="s">
        <v>423</v>
      </c>
    </row>
    <row r="6" spans="1:3" x14ac:dyDescent="0.25">
      <c r="A6" s="5" t="s">
        <v>424</v>
      </c>
      <c r="B6" s="5" t="s">
        <v>425</v>
      </c>
      <c r="C6" s="5" t="s">
        <v>426</v>
      </c>
    </row>
    <row r="7" spans="1:3" ht="25.5" x14ac:dyDescent="0.25">
      <c r="A7" s="5" t="s">
        <v>178</v>
      </c>
      <c r="B7" s="5" t="s">
        <v>427</v>
      </c>
      <c r="C7" s="5" t="s">
        <v>428</v>
      </c>
    </row>
    <row r="8" spans="1:3" x14ac:dyDescent="0.25">
      <c r="A8" s="5" t="s">
        <v>429</v>
      </c>
      <c r="B8" s="5" t="s">
        <v>430</v>
      </c>
      <c r="C8" s="5" t="s">
        <v>431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 me</vt:lpstr>
      <vt:lpstr>Risks</vt:lpstr>
      <vt:lpstr>Scales</vt:lpstr>
      <vt:lpstr>Assets</vt:lpstr>
      <vt:lpstr>Threat sources</vt:lpstr>
      <vt:lpstr>Vulnerabilities</vt:lpstr>
      <vt:lpstr>Conditions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Khas</cp:lastModifiedBy>
  <dcterms:created xsi:type="dcterms:W3CDTF">2026-10-31T12:46:21Z</dcterms:created>
  <dcterms:modified xsi:type="dcterms:W3CDTF">2026-10-31T12:46:22Z</dcterms:modified>
</cp:coreProperties>
</file>